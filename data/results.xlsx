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15"/>
  <workbookPr/>
  <mc:AlternateContent xmlns:mc="http://schemas.openxmlformats.org/markup-compatibility/2006">
    <mc:Choice Requires="x15">
      <x15ac:absPath xmlns:x15ac="http://schemas.microsoft.com/office/spreadsheetml/2010/11/ac" url="/Users/diego/PycharmProjects/issues_ref_base/data/"/>
    </mc:Choice>
  </mc:AlternateContent>
  <bookViews>
    <workbookView xWindow="0" yWindow="460" windowWidth="28800" windowHeight="17460" tabRatio="500" activeTab="3"/>
  </bookViews>
  <sheets>
    <sheet name="Labels Count" sheetId="1" r:id="rId1"/>
    <sheet name="Reopening" sheetId="2" r:id="rId2"/>
    <sheet name="Re-Refactoring" sheetId="3" r:id="rId3"/>
    <sheet name="re-refactoring-by-projects" sheetId="4" r:id="rId4"/>
    <sheet name="re-refactoring-interval" sheetId="5" r:id="rId5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" i="3" l="1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1" i="4"/>
  <c r="D6" i="3"/>
  <c r="D7" i="3"/>
  <c r="D5" i="3"/>
</calcChain>
</file>

<file path=xl/sharedStrings.xml><?xml version="1.0" encoding="utf-8"?>
<sst xmlns="http://schemas.openxmlformats.org/spreadsheetml/2006/main" count="194" uniqueCount="64">
  <si>
    <t xml:space="preserve">breaking-java </t>
  </si>
  <si>
    <t xml:space="preserve">das awesome </t>
  </si>
  <si>
    <t xml:space="preserve">enhancement </t>
  </si>
  <si>
    <t xml:space="preserve">release highlight </t>
  </si>
  <si>
    <t xml:space="preserve">review </t>
  </si>
  <si>
    <t xml:space="preserve">resiliency </t>
  </si>
  <si>
    <t xml:space="preserve">bug </t>
  </si>
  <si>
    <t xml:space="preserve">non-issue </t>
  </si>
  <si>
    <t xml:space="preserve">theories </t>
  </si>
  <si>
    <t xml:space="preserve">nonregression </t>
  </si>
  <si>
    <t xml:space="preserve">breaking </t>
  </si>
  <si>
    <t xml:space="preserve">feature </t>
  </si>
  <si>
    <t xml:space="preserve">test </t>
  </si>
  <si>
    <t xml:space="preserve">parameterized </t>
  </si>
  <si>
    <t xml:space="preserve">cache </t>
  </si>
  <si>
    <t xml:space="preserve">aggregations </t>
  </si>
  <si>
    <t xml:space="preserve">settings </t>
  </si>
  <si>
    <t xml:space="preserve">stats </t>
  </si>
  <si>
    <t xml:space="preserve">network </t>
  </si>
  <si>
    <t xml:space="preserve">discovery </t>
  </si>
  <si>
    <t xml:space="preserve">core </t>
  </si>
  <si>
    <t xml:space="preserve">java api </t>
  </si>
  <si>
    <t xml:space="preserve">fielddata </t>
  </si>
  <si>
    <t xml:space="preserve">cluster </t>
  </si>
  <si>
    <t xml:space="preserve">internal </t>
  </si>
  <si>
    <t xml:space="preserve">mapping </t>
  </si>
  <si>
    <t xml:space="preserve">allocation </t>
  </si>
  <si>
    <t>Label</t>
  </si>
  <si>
    <t>Count</t>
  </si>
  <si>
    <t xml:space="preserve">Neutral </t>
  </si>
  <si>
    <t xml:space="preserve">Negative </t>
  </si>
  <si>
    <t xml:space="preserve">Extract method </t>
  </si>
  <si>
    <t xml:space="preserve">Rename method </t>
  </si>
  <si>
    <t>Numero de Re-Refactorings</t>
  </si>
  <si>
    <t>Total de Refactorings</t>
  </si>
  <si>
    <t>Positive</t>
  </si>
  <si>
    <t>Negative</t>
  </si>
  <si>
    <t>Neutral</t>
  </si>
  <si>
    <t>Total</t>
  </si>
  <si>
    <t>Re-refactored</t>
  </si>
  <si>
    <t>Percentual</t>
  </si>
  <si>
    <t>alibaba/dubbo</t>
  </si>
  <si>
    <t>AndroidBootstrap/android-bootstrap</t>
  </si>
  <si>
    <t>apache/ant</t>
  </si>
  <si>
    <t>diegocedrim/argouml</t>
  </si>
  <si>
    <t>diegocedrim/xerces</t>
  </si>
  <si>
    <t>elastic/elasticsearch</t>
  </si>
  <si>
    <t>facebook/facebook-android-sdk</t>
  </si>
  <si>
    <t>facebook/fresco</t>
  </si>
  <si>
    <t>google/iosched</t>
  </si>
  <si>
    <t>google/j2objc</t>
  </si>
  <si>
    <t>junit-team/junit4</t>
  </si>
  <si>
    <t>Netflix/Hystrix</t>
  </si>
  <si>
    <t>Netflix/SimianArmy</t>
  </si>
  <si>
    <t>orhanobut/logger</t>
  </si>
  <si>
    <t>PhilJay/MPAndroidChart</t>
  </si>
  <si>
    <t>prestodb/presto</t>
  </si>
  <si>
    <t>realm/realm-java</t>
  </si>
  <si>
    <t>spring-projects/spring-boot</t>
  </si>
  <si>
    <t>spring-projects/spring-framework</t>
  </si>
  <si>
    <t>square/dagger</t>
  </si>
  <si>
    <t>square/leakcanary</t>
  </si>
  <si>
    <t>square/okhttp</t>
  </si>
  <si>
    <t>square/retrofit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</si>
</sst>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#,##0.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activeCell="C25" sqref="C25"/>
    </sheetView>
  </sheetViews>
  <sheetFormatPr baseColWidth="10" defaultRowHeight="16" x14ac:dyDescent="0.2"/>
  <cols>
    <col min="1" max="1" width="15.83203125" bestFit="1" customWidth="1"/>
    <col min="2" max="2" width="6" bestFit="1" customWidth="1"/>
  </cols>
  <sheetData>
    <row r="1" spans="1:2" x14ac:dyDescent="0.2">
      <c r="A1" t="s">
        <v>27</v>
      </c>
      <c r="B1" t="s">
        <v>28</v>
      </c>
    </row>
    <row r="2" spans="1:2" x14ac:dyDescent="0.2">
      <c r="A2" t="s">
        <v>2</v>
      </c>
      <c r="B2">
        <v>94</v>
      </c>
    </row>
    <row r="3" spans="1:2" x14ac:dyDescent="0.2">
      <c r="A3" t="s">
        <v>11</v>
      </c>
      <c r="B3">
        <v>56</v>
      </c>
    </row>
    <row r="4" spans="1:2" x14ac:dyDescent="0.2">
      <c r="A4" t="s">
        <v>6</v>
      </c>
      <c r="B4">
        <v>39</v>
      </c>
    </row>
    <row r="5" spans="1:2" x14ac:dyDescent="0.2">
      <c r="A5" t="s">
        <v>10</v>
      </c>
      <c r="B5">
        <v>26</v>
      </c>
    </row>
    <row r="6" spans="1:2" x14ac:dyDescent="0.2">
      <c r="A6" t="s">
        <v>7</v>
      </c>
      <c r="B6">
        <v>15</v>
      </c>
    </row>
    <row r="7" spans="1:2" x14ac:dyDescent="0.2">
      <c r="A7" t="s">
        <v>4</v>
      </c>
      <c r="B7">
        <v>11</v>
      </c>
    </row>
    <row r="8" spans="1:2" x14ac:dyDescent="0.2">
      <c r="A8" t="s">
        <v>24</v>
      </c>
      <c r="B8">
        <v>10</v>
      </c>
    </row>
    <row r="9" spans="1:2" x14ac:dyDescent="0.2">
      <c r="A9" t="s">
        <v>25</v>
      </c>
      <c r="B9">
        <v>8</v>
      </c>
    </row>
    <row r="10" spans="1:2" x14ac:dyDescent="0.2">
      <c r="A10" t="s">
        <v>15</v>
      </c>
      <c r="B10">
        <v>6</v>
      </c>
    </row>
    <row r="11" spans="1:2" x14ac:dyDescent="0.2">
      <c r="A11" t="s">
        <v>26</v>
      </c>
      <c r="B11">
        <v>5</v>
      </c>
    </row>
    <row r="12" spans="1:2" x14ac:dyDescent="0.2">
      <c r="A12" t="s">
        <v>23</v>
      </c>
      <c r="B12">
        <v>4</v>
      </c>
    </row>
    <row r="13" spans="1:2" x14ac:dyDescent="0.2">
      <c r="A13" t="s">
        <v>0</v>
      </c>
      <c r="B13">
        <v>3</v>
      </c>
    </row>
    <row r="14" spans="1:2" x14ac:dyDescent="0.2">
      <c r="A14" t="s">
        <v>5</v>
      </c>
      <c r="B14">
        <v>3</v>
      </c>
    </row>
    <row r="15" spans="1:2" x14ac:dyDescent="0.2">
      <c r="A15" t="s">
        <v>12</v>
      </c>
      <c r="B15">
        <v>3</v>
      </c>
    </row>
    <row r="16" spans="1:2" x14ac:dyDescent="0.2">
      <c r="A16" t="s">
        <v>8</v>
      </c>
      <c r="B16">
        <v>3</v>
      </c>
    </row>
    <row r="17" spans="1:2" x14ac:dyDescent="0.2">
      <c r="A17" t="s">
        <v>14</v>
      </c>
      <c r="B17">
        <v>2</v>
      </c>
    </row>
    <row r="18" spans="1:2" x14ac:dyDescent="0.2">
      <c r="A18" t="s">
        <v>20</v>
      </c>
      <c r="B18">
        <v>2</v>
      </c>
    </row>
    <row r="19" spans="1:2" x14ac:dyDescent="0.2">
      <c r="A19" t="s">
        <v>1</v>
      </c>
      <c r="B19">
        <v>2</v>
      </c>
    </row>
    <row r="20" spans="1:2" x14ac:dyDescent="0.2">
      <c r="A20" t="s">
        <v>19</v>
      </c>
      <c r="B20">
        <v>2</v>
      </c>
    </row>
    <row r="21" spans="1:2" x14ac:dyDescent="0.2">
      <c r="A21" t="s">
        <v>22</v>
      </c>
      <c r="B21">
        <v>2</v>
      </c>
    </row>
    <row r="22" spans="1:2" x14ac:dyDescent="0.2">
      <c r="A22" t="s">
        <v>21</v>
      </c>
      <c r="B22">
        <v>2</v>
      </c>
    </row>
    <row r="23" spans="1:2" x14ac:dyDescent="0.2">
      <c r="A23" t="s">
        <v>18</v>
      </c>
      <c r="B23">
        <v>2</v>
      </c>
    </row>
    <row r="24" spans="1:2" x14ac:dyDescent="0.2">
      <c r="A24" t="s">
        <v>9</v>
      </c>
      <c r="B24">
        <v>2</v>
      </c>
    </row>
    <row r="25" spans="1:2" x14ac:dyDescent="0.2">
      <c r="A25" t="s">
        <v>13</v>
      </c>
      <c r="B25">
        <v>2</v>
      </c>
    </row>
    <row r="26" spans="1:2" x14ac:dyDescent="0.2">
      <c r="A26" t="s">
        <v>3</v>
      </c>
      <c r="B26">
        <v>2</v>
      </c>
    </row>
    <row r="27" spans="1:2" x14ac:dyDescent="0.2">
      <c r="A27" t="s">
        <v>16</v>
      </c>
      <c r="B27">
        <v>2</v>
      </c>
    </row>
    <row r="28" spans="1:2" x14ac:dyDescent="0.2">
      <c r="A28" t="s">
        <v>17</v>
      </c>
      <c r="B28">
        <v>2</v>
      </c>
    </row>
  </sheetData>
  <sortState ref="A1:B42">
    <sortCondition descending="1" ref="B1:B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6" sqref="A6:B7"/>
    </sheetView>
  </sheetViews>
  <sheetFormatPr baseColWidth="10" defaultRowHeight="16" x14ac:dyDescent="0.2"/>
  <cols>
    <col min="1" max="1" width="15.1640625" bestFit="1" customWidth="1"/>
  </cols>
  <sheetData>
    <row r="1" spans="1:2" x14ac:dyDescent="0.2">
      <c r="A1" t="s">
        <v>29</v>
      </c>
      <c r="B1">
        <v>510</v>
      </c>
    </row>
    <row r="2" spans="1:2" x14ac:dyDescent="0.2">
      <c r="A2" t="s">
        <v>30</v>
      </c>
      <c r="B2">
        <v>32</v>
      </c>
    </row>
    <row r="6" spans="1:2" x14ac:dyDescent="0.2">
      <c r="A6" t="s">
        <v>31</v>
      </c>
      <c r="B6">
        <v>3</v>
      </c>
    </row>
    <row r="7" spans="1:2" x14ac:dyDescent="0.2">
      <c r="A7" t="s">
        <v>32</v>
      </c>
      <c r="B7">
        <v>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3" sqref="D3"/>
    </sheetView>
  </sheetViews>
  <sheetFormatPr baseColWidth="10" defaultRowHeight="16" x14ac:dyDescent="0.2"/>
  <cols>
    <col min="1" max="1" width="24" bestFit="1" customWidth="1"/>
    <col min="2" max="2" width="12.33203125" bestFit="1" customWidth="1"/>
  </cols>
  <sheetData>
    <row r="1" spans="1:4" x14ac:dyDescent="0.2">
      <c r="A1" t="s">
        <v>34</v>
      </c>
      <c r="B1">
        <v>29317</v>
      </c>
    </row>
    <row r="2" spans="1:4" x14ac:dyDescent="0.2">
      <c r="A2" t="s">
        <v>33</v>
      </c>
      <c r="B2">
        <v>19273</v>
      </c>
      <c r="D2">
        <f>B2/B1</f>
        <v>0.6574001432615888</v>
      </c>
    </row>
    <row r="4" spans="1:4" x14ac:dyDescent="0.2">
      <c r="B4" t="s">
        <v>39</v>
      </c>
      <c r="C4" s="1" t="s">
        <v>38</v>
      </c>
      <c r="D4" t="s">
        <v>40</v>
      </c>
    </row>
    <row r="5" spans="1:4" x14ac:dyDescent="0.2">
      <c r="A5" t="s">
        <v>35</v>
      </c>
      <c r="B5">
        <v>1575</v>
      </c>
      <c r="C5">
        <v>1871</v>
      </c>
      <c r="D5" s="2">
        <f>B5/C5</f>
        <v>0.84179583110636025</v>
      </c>
    </row>
    <row r="6" spans="1:4" x14ac:dyDescent="0.2">
      <c r="A6" t="s">
        <v>36</v>
      </c>
      <c r="B6">
        <v>5482</v>
      </c>
      <c r="C6">
        <v>7702</v>
      </c>
      <c r="D6" s="2">
        <f t="shared" ref="D6:D7" si="0">B6/C6</f>
        <v>0.71176317839522207</v>
      </c>
    </row>
    <row r="7" spans="1:4" x14ac:dyDescent="0.2">
      <c r="A7" t="s">
        <v>37</v>
      </c>
      <c r="B7">
        <v>12215</v>
      </c>
      <c r="C7">
        <v>19745</v>
      </c>
      <c r="D7" s="2">
        <f t="shared" si="0"/>
        <v>0.61863762977969106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tabSelected="1" workbookViewId="0">
      <selection activeCell="H19" sqref="H19"/>
    </sheetView>
  </sheetViews>
  <sheetFormatPr baseColWidth="10" defaultRowHeight="16" x14ac:dyDescent="0.2"/>
  <cols>
    <col min="1" max="1" width="31.33203125" bestFit="1" customWidth="1"/>
    <col min="2" max="2" width="8.33203125" bestFit="1" customWidth="1"/>
    <col min="3" max="3" width="5.1640625" bestFit="1" customWidth="1"/>
  </cols>
  <sheetData>
    <row r="1" spans="1:5" x14ac:dyDescent="0.2">
      <c r="A1" t="s">
        <v>41</v>
      </c>
      <c r="B1" t="s">
        <v>36</v>
      </c>
      <c r="C1">
        <v>102</v>
      </c>
      <c r="D1">
        <v>108</v>
      </c>
      <c r="E1" s="2">
        <f>C1/D1</f>
        <v>0.94444444444444442</v>
      </c>
    </row>
    <row r="2" spans="1:5" x14ac:dyDescent="0.2">
      <c r="A2" t="s">
        <v>41</v>
      </c>
      <c r="B2" t="s">
        <v>37</v>
      </c>
      <c r="C2">
        <v>82</v>
      </c>
      <c r="D2">
        <v>145</v>
      </c>
      <c r="E2" s="2">
        <f t="shared" ref="E2:E65" si="0">C2/D2</f>
        <v>0.56551724137931036</v>
      </c>
    </row>
    <row r="3" spans="1:5" x14ac:dyDescent="0.2">
      <c r="A3" t="s">
        <v>41</v>
      </c>
      <c r="B3" t="s">
        <v>35</v>
      </c>
      <c r="C3">
        <v>20</v>
      </c>
      <c r="D3">
        <v>28</v>
      </c>
      <c r="E3" s="2">
        <f t="shared" si="0"/>
        <v>0.7142857142857143</v>
      </c>
    </row>
    <row r="4" spans="1:5" x14ac:dyDescent="0.2">
      <c r="A4" t="s">
        <v>42</v>
      </c>
      <c r="B4" t="s">
        <v>37</v>
      </c>
      <c r="C4">
        <v>1</v>
      </c>
      <c r="D4">
        <v>6</v>
      </c>
      <c r="E4" s="2">
        <f t="shared" si="0"/>
        <v>0.16666666666666666</v>
      </c>
    </row>
    <row r="5" spans="1:5" x14ac:dyDescent="0.2">
      <c r="A5" t="s">
        <v>43</v>
      </c>
      <c r="B5" t="s">
        <v>36</v>
      </c>
      <c r="C5">
        <v>619</v>
      </c>
      <c r="D5">
        <v>649</v>
      </c>
      <c r="E5" s="2">
        <f t="shared" si="0"/>
        <v>0.95377503852080125</v>
      </c>
    </row>
    <row r="6" spans="1:5" x14ac:dyDescent="0.2">
      <c r="A6" t="s">
        <v>43</v>
      </c>
      <c r="B6" t="s">
        <v>37</v>
      </c>
      <c r="C6">
        <v>870</v>
      </c>
      <c r="D6">
        <v>1162</v>
      </c>
      <c r="E6" s="2">
        <f t="shared" si="0"/>
        <v>0.74870912220309815</v>
      </c>
    </row>
    <row r="7" spans="1:5" x14ac:dyDescent="0.2">
      <c r="A7" t="s">
        <v>43</v>
      </c>
      <c r="B7" t="s">
        <v>35</v>
      </c>
      <c r="C7">
        <v>218</v>
      </c>
      <c r="D7">
        <v>230</v>
      </c>
      <c r="E7" s="2">
        <f t="shared" si="0"/>
        <v>0.94782608695652171</v>
      </c>
    </row>
    <row r="8" spans="1:5" x14ac:dyDescent="0.2">
      <c r="A8" t="s">
        <v>44</v>
      </c>
      <c r="B8" t="s">
        <v>36</v>
      </c>
      <c r="C8">
        <v>542</v>
      </c>
      <c r="D8">
        <v>614</v>
      </c>
      <c r="E8" s="2">
        <f t="shared" si="0"/>
        <v>0.88273615635179148</v>
      </c>
    </row>
    <row r="9" spans="1:5" x14ac:dyDescent="0.2">
      <c r="A9" t="s">
        <v>44</v>
      </c>
      <c r="B9" t="s">
        <v>37</v>
      </c>
      <c r="C9">
        <v>1253</v>
      </c>
      <c r="D9">
        <v>1763</v>
      </c>
      <c r="E9" s="2">
        <f t="shared" si="0"/>
        <v>0.71072036301758368</v>
      </c>
    </row>
    <row r="10" spans="1:5" x14ac:dyDescent="0.2">
      <c r="A10" t="s">
        <v>44</v>
      </c>
      <c r="B10" t="s">
        <v>35</v>
      </c>
      <c r="C10">
        <v>188</v>
      </c>
      <c r="D10">
        <v>212</v>
      </c>
      <c r="E10" s="2">
        <f t="shared" si="0"/>
        <v>0.8867924528301887</v>
      </c>
    </row>
    <row r="11" spans="1:5" x14ac:dyDescent="0.2">
      <c r="A11" t="s">
        <v>45</v>
      </c>
      <c r="B11" t="s">
        <v>36</v>
      </c>
      <c r="C11">
        <v>251</v>
      </c>
      <c r="D11">
        <v>268</v>
      </c>
      <c r="E11" s="2">
        <f t="shared" si="0"/>
        <v>0.93656716417910446</v>
      </c>
    </row>
    <row r="12" spans="1:5" x14ac:dyDescent="0.2">
      <c r="A12" t="s">
        <v>45</v>
      </c>
      <c r="B12" t="s">
        <v>37</v>
      </c>
      <c r="C12">
        <v>365</v>
      </c>
      <c r="D12">
        <v>474</v>
      </c>
      <c r="E12" s="2">
        <f t="shared" si="0"/>
        <v>0.77004219409282704</v>
      </c>
    </row>
    <row r="13" spans="1:5" x14ac:dyDescent="0.2">
      <c r="A13" t="s">
        <v>45</v>
      </c>
      <c r="B13" t="s">
        <v>35</v>
      </c>
      <c r="C13">
        <v>107</v>
      </c>
      <c r="D13">
        <v>112</v>
      </c>
      <c r="E13" s="2">
        <f t="shared" si="0"/>
        <v>0.9553571428571429</v>
      </c>
    </row>
    <row r="14" spans="1:5" x14ac:dyDescent="0.2">
      <c r="A14" t="s">
        <v>46</v>
      </c>
      <c r="B14" t="s">
        <v>36</v>
      </c>
      <c r="C14">
        <v>1407</v>
      </c>
      <c r="D14">
        <v>2670</v>
      </c>
      <c r="E14" s="2">
        <f t="shared" si="0"/>
        <v>0.52696629213483148</v>
      </c>
    </row>
    <row r="15" spans="1:5" x14ac:dyDescent="0.2">
      <c r="A15" t="s">
        <v>46</v>
      </c>
      <c r="B15" t="s">
        <v>37</v>
      </c>
      <c r="C15">
        <v>4850</v>
      </c>
      <c r="D15">
        <v>6425</v>
      </c>
      <c r="E15" s="2">
        <f t="shared" si="0"/>
        <v>0.75486381322957197</v>
      </c>
    </row>
    <row r="16" spans="1:5" x14ac:dyDescent="0.2">
      <c r="A16" t="s">
        <v>46</v>
      </c>
      <c r="B16" t="s">
        <v>35</v>
      </c>
      <c r="C16">
        <v>320</v>
      </c>
      <c r="D16">
        <v>413</v>
      </c>
      <c r="E16" s="2">
        <f t="shared" si="0"/>
        <v>0.77481840193704599</v>
      </c>
    </row>
    <row r="17" spans="1:5" x14ac:dyDescent="0.2">
      <c r="A17" t="s">
        <v>47</v>
      </c>
      <c r="B17" t="s">
        <v>36</v>
      </c>
      <c r="C17">
        <v>103</v>
      </c>
      <c r="D17">
        <v>115</v>
      </c>
      <c r="E17" s="2">
        <f t="shared" si="0"/>
        <v>0.89565217391304353</v>
      </c>
    </row>
    <row r="18" spans="1:5" x14ac:dyDescent="0.2">
      <c r="A18" t="s">
        <v>47</v>
      </c>
      <c r="B18" t="s">
        <v>37</v>
      </c>
      <c r="C18">
        <v>128</v>
      </c>
      <c r="D18">
        <v>204</v>
      </c>
      <c r="E18" s="2">
        <f t="shared" si="0"/>
        <v>0.62745098039215685</v>
      </c>
    </row>
    <row r="19" spans="1:5" x14ac:dyDescent="0.2">
      <c r="A19" t="s">
        <v>47</v>
      </c>
      <c r="B19" t="s">
        <v>35</v>
      </c>
      <c r="C19">
        <v>20</v>
      </c>
      <c r="D19">
        <v>23</v>
      </c>
      <c r="E19" s="2">
        <f t="shared" si="0"/>
        <v>0.86956521739130432</v>
      </c>
    </row>
    <row r="20" spans="1:5" x14ac:dyDescent="0.2">
      <c r="A20" t="s">
        <v>48</v>
      </c>
      <c r="B20" t="s">
        <v>36</v>
      </c>
      <c r="C20">
        <v>26</v>
      </c>
      <c r="D20">
        <v>34</v>
      </c>
      <c r="E20" s="2">
        <f t="shared" si="0"/>
        <v>0.76470588235294112</v>
      </c>
    </row>
    <row r="21" spans="1:5" x14ac:dyDescent="0.2">
      <c r="A21" t="s">
        <v>48</v>
      </c>
      <c r="B21" t="s">
        <v>37</v>
      </c>
      <c r="C21">
        <v>47</v>
      </c>
      <c r="D21">
        <v>115</v>
      </c>
      <c r="E21" s="2">
        <f t="shared" si="0"/>
        <v>0.40869565217391307</v>
      </c>
    </row>
    <row r="22" spans="1:5" x14ac:dyDescent="0.2">
      <c r="A22" t="s">
        <v>48</v>
      </c>
      <c r="B22" t="s">
        <v>35</v>
      </c>
      <c r="C22">
        <v>11</v>
      </c>
      <c r="D22">
        <v>13</v>
      </c>
      <c r="E22" s="2">
        <f t="shared" si="0"/>
        <v>0.84615384615384615</v>
      </c>
    </row>
    <row r="23" spans="1:5" x14ac:dyDescent="0.2">
      <c r="A23" t="s">
        <v>49</v>
      </c>
      <c r="B23" t="s">
        <v>36</v>
      </c>
      <c r="C23">
        <v>12</v>
      </c>
      <c r="D23">
        <v>21</v>
      </c>
      <c r="E23" s="2">
        <f t="shared" si="0"/>
        <v>0.5714285714285714</v>
      </c>
    </row>
    <row r="24" spans="1:5" x14ac:dyDescent="0.2">
      <c r="A24" t="s">
        <v>49</v>
      </c>
      <c r="B24" t="s">
        <v>37</v>
      </c>
      <c r="C24">
        <v>22</v>
      </c>
      <c r="D24">
        <v>44</v>
      </c>
      <c r="E24" s="2">
        <f t="shared" si="0"/>
        <v>0.5</v>
      </c>
    </row>
    <row r="25" spans="1:5" x14ac:dyDescent="0.2">
      <c r="A25" t="s">
        <v>49</v>
      </c>
      <c r="B25" t="s">
        <v>35</v>
      </c>
      <c r="C25">
        <v>5</v>
      </c>
      <c r="D25">
        <v>9</v>
      </c>
      <c r="E25" s="2">
        <f t="shared" si="0"/>
        <v>0.55555555555555558</v>
      </c>
    </row>
    <row r="26" spans="1:5" x14ac:dyDescent="0.2">
      <c r="A26" t="s">
        <v>50</v>
      </c>
      <c r="B26" t="s">
        <v>36</v>
      </c>
      <c r="C26">
        <v>190</v>
      </c>
      <c r="D26">
        <v>203</v>
      </c>
      <c r="E26" s="2">
        <f t="shared" si="0"/>
        <v>0.93596059113300489</v>
      </c>
    </row>
    <row r="27" spans="1:5" x14ac:dyDescent="0.2">
      <c r="A27" t="s">
        <v>50</v>
      </c>
      <c r="B27" t="s">
        <v>37</v>
      </c>
      <c r="C27">
        <v>304</v>
      </c>
      <c r="D27">
        <v>358</v>
      </c>
      <c r="E27" s="2">
        <f t="shared" si="0"/>
        <v>0.84916201117318435</v>
      </c>
    </row>
    <row r="28" spans="1:5" x14ac:dyDescent="0.2">
      <c r="A28" t="s">
        <v>50</v>
      </c>
      <c r="B28" t="s">
        <v>35</v>
      </c>
      <c r="C28">
        <v>142</v>
      </c>
      <c r="D28">
        <v>153</v>
      </c>
      <c r="E28" s="2">
        <f t="shared" si="0"/>
        <v>0.92810457516339873</v>
      </c>
    </row>
    <row r="29" spans="1:5" x14ac:dyDescent="0.2">
      <c r="A29" t="s">
        <v>51</v>
      </c>
      <c r="B29" t="s">
        <v>36</v>
      </c>
      <c r="C29">
        <v>51</v>
      </c>
      <c r="D29">
        <v>79</v>
      </c>
      <c r="E29" s="2">
        <f t="shared" si="0"/>
        <v>0.64556962025316456</v>
      </c>
    </row>
    <row r="30" spans="1:5" x14ac:dyDescent="0.2">
      <c r="A30" t="s">
        <v>51</v>
      </c>
      <c r="B30" t="s">
        <v>37</v>
      </c>
      <c r="C30">
        <v>146</v>
      </c>
      <c r="D30">
        <v>215</v>
      </c>
      <c r="E30" s="2">
        <f t="shared" si="0"/>
        <v>0.67906976744186043</v>
      </c>
    </row>
    <row r="31" spans="1:5" x14ac:dyDescent="0.2">
      <c r="A31" t="s">
        <v>51</v>
      </c>
      <c r="B31" t="s">
        <v>35</v>
      </c>
      <c r="C31">
        <v>16</v>
      </c>
      <c r="D31">
        <v>16</v>
      </c>
      <c r="E31" s="2">
        <f t="shared" si="0"/>
        <v>1</v>
      </c>
    </row>
    <row r="32" spans="1:5" x14ac:dyDescent="0.2">
      <c r="A32" t="s">
        <v>52</v>
      </c>
      <c r="B32" t="s">
        <v>36</v>
      </c>
      <c r="C32">
        <v>87</v>
      </c>
      <c r="D32">
        <v>103</v>
      </c>
      <c r="E32" s="2">
        <f t="shared" si="0"/>
        <v>0.84466019417475724</v>
      </c>
    </row>
    <row r="33" spans="1:5" x14ac:dyDescent="0.2">
      <c r="A33" t="s">
        <v>52</v>
      </c>
      <c r="B33" t="s">
        <v>37</v>
      </c>
      <c r="C33">
        <v>55</v>
      </c>
      <c r="D33">
        <v>143</v>
      </c>
      <c r="E33" s="2">
        <f t="shared" si="0"/>
        <v>0.38461538461538464</v>
      </c>
    </row>
    <row r="34" spans="1:5" x14ac:dyDescent="0.2">
      <c r="A34" t="s">
        <v>52</v>
      </c>
      <c r="B34" t="s">
        <v>35</v>
      </c>
      <c r="C34">
        <v>2</v>
      </c>
      <c r="D34">
        <v>21</v>
      </c>
      <c r="E34" s="2">
        <f t="shared" si="0"/>
        <v>9.5238095238095233E-2</v>
      </c>
    </row>
    <row r="35" spans="1:5" x14ac:dyDescent="0.2">
      <c r="A35" t="s">
        <v>53</v>
      </c>
      <c r="B35" t="s">
        <v>36</v>
      </c>
      <c r="C35">
        <v>19</v>
      </c>
      <c r="D35">
        <v>20</v>
      </c>
      <c r="E35" s="2">
        <f t="shared" si="0"/>
        <v>0.95</v>
      </c>
    </row>
    <row r="36" spans="1:5" x14ac:dyDescent="0.2">
      <c r="A36" t="s">
        <v>53</v>
      </c>
      <c r="B36" t="s">
        <v>37</v>
      </c>
      <c r="C36">
        <v>20</v>
      </c>
      <c r="D36">
        <v>32</v>
      </c>
      <c r="E36" s="2">
        <f t="shared" si="0"/>
        <v>0.625</v>
      </c>
    </row>
    <row r="37" spans="1:5" x14ac:dyDescent="0.2">
      <c r="A37" t="s">
        <v>53</v>
      </c>
      <c r="B37" t="s">
        <v>35</v>
      </c>
      <c r="C37">
        <v>4</v>
      </c>
      <c r="D37">
        <v>4</v>
      </c>
      <c r="E37" s="2">
        <f t="shared" si="0"/>
        <v>1</v>
      </c>
    </row>
    <row r="38" spans="1:5" x14ac:dyDescent="0.2">
      <c r="A38" t="s">
        <v>54</v>
      </c>
      <c r="B38" t="s">
        <v>36</v>
      </c>
      <c r="C38">
        <v>2</v>
      </c>
      <c r="D38">
        <v>10</v>
      </c>
      <c r="E38" s="2">
        <f t="shared" si="0"/>
        <v>0.2</v>
      </c>
    </row>
    <row r="39" spans="1:5" x14ac:dyDescent="0.2">
      <c r="A39" t="s">
        <v>54</v>
      </c>
      <c r="B39" t="s">
        <v>37</v>
      </c>
      <c r="C39">
        <v>6</v>
      </c>
      <c r="D39">
        <v>10</v>
      </c>
      <c r="E39" s="2">
        <f t="shared" si="0"/>
        <v>0.6</v>
      </c>
    </row>
    <row r="40" spans="1:5" x14ac:dyDescent="0.2">
      <c r="A40" t="s">
        <v>54</v>
      </c>
      <c r="B40" t="s">
        <v>35</v>
      </c>
      <c r="C40">
        <v>1</v>
      </c>
      <c r="D40">
        <v>1</v>
      </c>
      <c r="E40" s="2">
        <f t="shared" si="0"/>
        <v>1</v>
      </c>
    </row>
    <row r="41" spans="1:5" x14ac:dyDescent="0.2">
      <c r="A41" t="s">
        <v>55</v>
      </c>
      <c r="B41" t="s">
        <v>36</v>
      </c>
      <c r="C41">
        <v>55</v>
      </c>
      <c r="D41">
        <v>90</v>
      </c>
      <c r="E41" s="2">
        <f t="shared" si="0"/>
        <v>0.61111111111111116</v>
      </c>
    </row>
    <row r="42" spans="1:5" x14ac:dyDescent="0.2">
      <c r="A42" t="s">
        <v>55</v>
      </c>
      <c r="B42" t="s">
        <v>37</v>
      </c>
      <c r="C42">
        <v>247</v>
      </c>
      <c r="D42">
        <v>290</v>
      </c>
      <c r="E42" s="2">
        <f t="shared" si="0"/>
        <v>0.85172413793103452</v>
      </c>
    </row>
    <row r="43" spans="1:5" x14ac:dyDescent="0.2">
      <c r="A43" t="s">
        <v>55</v>
      </c>
      <c r="B43" t="s">
        <v>35</v>
      </c>
      <c r="C43">
        <v>12</v>
      </c>
      <c r="D43">
        <v>19</v>
      </c>
      <c r="E43" s="2">
        <f t="shared" si="0"/>
        <v>0.63157894736842102</v>
      </c>
    </row>
    <row r="44" spans="1:5" x14ac:dyDescent="0.2">
      <c r="A44" t="s">
        <v>56</v>
      </c>
      <c r="B44" t="s">
        <v>36</v>
      </c>
      <c r="C44">
        <v>472</v>
      </c>
      <c r="D44">
        <v>514</v>
      </c>
      <c r="E44" s="2">
        <f t="shared" si="0"/>
        <v>0.91828793774319062</v>
      </c>
    </row>
    <row r="45" spans="1:5" x14ac:dyDescent="0.2">
      <c r="A45" t="s">
        <v>56</v>
      </c>
      <c r="B45" t="s">
        <v>37</v>
      </c>
      <c r="C45">
        <v>809</v>
      </c>
      <c r="D45">
        <v>1327</v>
      </c>
      <c r="E45" s="2">
        <f t="shared" si="0"/>
        <v>0.60964581763376036</v>
      </c>
    </row>
    <row r="46" spans="1:5" x14ac:dyDescent="0.2">
      <c r="A46" t="s">
        <v>56</v>
      </c>
      <c r="B46" t="s">
        <v>35</v>
      </c>
      <c r="C46">
        <v>192</v>
      </c>
      <c r="D46">
        <v>228</v>
      </c>
      <c r="E46" s="2">
        <f t="shared" si="0"/>
        <v>0.84210526315789469</v>
      </c>
    </row>
    <row r="47" spans="1:5" x14ac:dyDescent="0.2">
      <c r="A47" t="s">
        <v>57</v>
      </c>
      <c r="B47" t="s">
        <v>36</v>
      </c>
      <c r="C47">
        <v>299</v>
      </c>
      <c r="D47">
        <v>574</v>
      </c>
      <c r="E47" s="2">
        <f t="shared" si="0"/>
        <v>0.52090592334494779</v>
      </c>
    </row>
    <row r="48" spans="1:5" x14ac:dyDescent="0.2">
      <c r="A48" t="s">
        <v>57</v>
      </c>
      <c r="B48" t="s">
        <v>37</v>
      </c>
      <c r="C48">
        <v>858</v>
      </c>
      <c r="D48">
        <v>1102</v>
      </c>
      <c r="E48" s="2">
        <f t="shared" si="0"/>
        <v>0.77858439201451901</v>
      </c>
    </row>
    <row r="49" spans="1:5" x14ac:dyDescent="0.2">
      <c r="A49" t="s">
        <v>57</v>
      </c>
      <c r="B49" t="s">
        <v>35</v>
      </c>
      <c r="C49">
        <v>22</v>
      </c>
      <c r="D49">
        <v>24</v>
      </c>
      <c r="E49" s="2">
        <f t="shared" si="0"/>
        <v>0.91666666666666663</v>
      </c>
    </row>
    <row r="50" spans="1:5" x14ac:dyDescent="0.2">
      <c r="A50" t="s">
        <v>58</v>
      </c>
      <c r="B50" t="s">
        <v>36</v>
      </c>
      <c r="C50">
        <v>217</v>
      </c>
      <c r="D50">
        <v>298</v>
      </c>
      <c r="E50" s="2">
        <f t="shared" si="0"/>
        <v>0.72818791946308725</v>
      </c>
    </row>
    <row r="51" spans="1:5" x14ac:dyDescent="0.2">
      <c r="A51" t="s">
        <v>58</v>
      </c>
      <c r="B51" t="s">
        <v>37</v>
      </c>
      <c r="C51">
        <v>509</v>
      </c>
      <c r="D51">
        <v>984</v>
      </c>
      <c r="E51" s="2">
        <f t="shared" si="0"/>
        <v>0.51727642276422769</v>
      </c>
    </row>
    <row r="52" spans="1:5" x14ac:dyDescent="0.2">
      <c r="A52" t="s">
        <v>58</v>
      </c>
      <c r="B52" t="s">
        <v>35</v>
      </c>
      <c r="C52">
        <v>92</v>
      </c>
      <c r="D52">
        <v>105</v>
      </c>
      <c r="E52" s="2">
        <f t="shared" si="0"/>
        <v>0.87619047619047619</v>
      </c>
    </row>
    <row r="53" spans="1:5" x14ac:dyDescent="0.2">
      <c r="A53" t="s">
        <v>59</v>
      </c>
      <c r="B53" t="s">
        <v>36</v>
      </c>
      <c r="C53">
        <v>666</v>
      </c>
      <c r="D53">
        <v>801</v>
      </c>
      <c r="E53" s="2">
        <f t="shared" si="0"/>
        <v>0.8314606741573034</v>
      </c>
    </row>
    <row r="54" spans="1:5" x14ac:dyDescent="0.2">
      <c r="A54" t="s">
        <v>59</v>
      </c>
      <c r="B54" t="s">
        <v>37</v>
      </c>
      <c r="C54">
        <v>1461</v>
      </c>
      <c r="D54">
        <v>4295</v>
      </c>
      <c r="E54" s="2">
        <f t="shared" si="0"/>
        <v>0.340162980209546</v>
      </c>
    </row>
    <row r="55" spans="1:5" x14ac:dyDescent="0.2">
      <c r="A55" t="s">
        <v>59</v>
      </c>
      <c r="B55" t="s">
        <v>35</v>
      </c>
      <c r="C55">
        <v>188</v>
      </c>
      <c r="D55">
        <v>240</v>
      </c>
      <c r="E55" s="2">
        <f t="shared" si="0"/>
        <v>0.78333333333333333</v>
      </c>
    </row>
    <row r="56" spans="1:5" x14ac:dyDescent="0.2">
      <c r="A56" t="s">
        <v>60</v>
      </c>
      <c r="B56" t="s">
        <v>36</v>
      </c>
      <c r="C56">
        <v>44</v>
      </c>
      <c r="D56">
        <v>58</v>
      </c>
      <c r="E56" s="2">
        <f t="shared" si="0"/>
        <v>0.75862068965517238</v>
      </c>
    </row>
    <row r="57" spans="1:5" x14ac:dyDescent="0.2">
      <c r="A57" t="s">
        <v>60</v>
      </c>
      <c r="B57" t="s">
        <v>37</v>
      </c>
      <c r="C57">
        <v>10</v>
      </c>
      <c r="D57">
        <v>28</v>
      </c>
      <c r="E57" s="2">
        <f t="shared" si="0"/>
        <v>0.35714285714285715</v>
      </c>
    </row>
    <row r="58" spans="1:5" x14ac:dyDescent="0.2">
      <c r="A58" t="s">
        <v>60</v>
      </c>
      <c r="B58" t="s">
        <v>35</v>
      </c>
      <c r="C58">
        <v>11</v>
      </c>
      <c r="D58">
        <v>11</v>
      </c>
      <c r="E58" s="2">
        <f t="shared" si="0"/>
        <v>1</v>
      </c>
    </row>
    <row r="59" spans="1:5" x14ac:dyDescent="0.2">
      <c r="A59" t="s">
        <v>61</v>
      </c>
      <c r="B59" t="s">
        <v>36</v>
      </c>
      <c r="C59">
        <v>6</v>
      </c>
      <c r="D59">
        <v>7</v>
      </c>
      <c r="E59" s="2">
        <f t="shared" si="0"/>
        <v>0.8571428571428571</v>
      </c>
    </row>
    <row r="60" spans="1:5" x14ac:dyDescent="0.2">
      <c r="A60" t="s">
        <v>61</v>
      </c>
      <c r="B60" t="s">
        <v>37</v>
      </c>
      <c r="C60">
        <v>1</v>
      </c>
      <c r="D60">
        <v>6</v>
      </c>
      <c r="E60" s="2">
        <f t="shared" si="0"/>
        <v>0.16666666666666666</v>
      </c>
    </row>
    <row r="61" spans="1:5" x14ac:dyDescent="0.2">
      <c r="A61" t="s">
        <v>62</v>
      </c>
      <c r="B61" t="s">
        <v>36</v>
      </c>
      <c r="C61">
        <v>246</v>
      </c>
      <c r="D61">
        <v>324</v>
      </c>
      <c r="E61" s="2">
        <f t="shared" si="0"/>
        <v>0.7592592592592593</v>
      </c>
    </row>
    <row r="62" spans="1:5" x14ac:dyDescent="0.2">
      <c r="A62" t="s">
        <v>62</v>
      </c>
      <c r="B62" t="s">
        <v>37</v>
      </c>
      <c r="C62">
        <v>122</v>
      </c>
      <c r="D62">
        <v>530</v>
      </c>
      <c r="E62" s="2">
        <f t="shared" si="0"/>
        <v>0.23018867924528302</v>
      </c>
    </row>
    <row r="63" spans="1:5" x14ac:dyDescent="0.2">
      <c r="A63" t="s">
        <v>63</v>
      </c>
      <c r="B63" t="s">
        <v>36</v>
      </c>
      <c r="C63">
        <v>66</v>
      </c>
      <c r="D63">
        <v>139</v>
      </c>
      <c r="E63" s="2">
        <f t="shared" si="0"/>
        <v>0.47482014388489208</v>
      </c>
    </row>
    <row r="64" spans="1:5" x14ac:dyDescent="0.2">
      <c r="A64" t="s">
        <v>63</v>
      </c>
      <c r="B64" t="s">
        <v>37</v>
      </c>
      <c r="C64">
        <v>49</v>
      </c>
      <c r="D64">
        <v>87</v>
      </c>
      <c r="E64" s="2">
        <f t="shared" si="0"/>
        <v>0.56321839080459768</v>
      </c>
    </row>
    <row r="65" spans="1:5" x14ac:dyDescent="0.2">
      <c r="A65" t="s">
        <v>63</v>
      </c>
      <c r="B65" t="s">
        <v>35</v>
      </c>
      <c r="C65">
        <v>4</v>
      </c>
      <c r="D65">
        <v>7</v>
      </c>
      <c r="E65" s="2">
        <f t="shared" si="0"/>
        <v>0.5714285714285714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I14" sqref="I14"/>
    </sheetView>
  </sheetViews>
  <sheetFormatPr baseColWidth="10" defaultRowHeight="16" x14ac:dyDescent="0.2"/>
  <cols>
    <col min="1" max="1" width="31.33203125" bestFit="1" customWidth="1"/>
  </cols>
  <sheetData>
    <row r="1" spans="1:2" x14ac:dyDescent="0.2">
      <c r="A1" t="s">
        <v>46</v>
      </c>
      <c r="B1" s="3">
        <v>941.74549999999999</v>
      </c>
    </row>
    <row r="2" spans="1:2" x14ac:dyDescent="0.2">
      <c r="A2" t="s">
        <v>59</v>
      </c>
      <c r="B2" s="3">
        <v>537.39829999999995</v>
      </c>
    </row>
    <row r="3" spans="1:2" x14ac:dyDescent="0.2">
      <c r="A3" t="s">
        <v>44</v>
      </c>
      <c r="B3" s="3">
        <v>400.66359999999997</v>
      </c>
    </row>
    <row r="4" spans="1:2" x14ac:dyDescent="0.2">
      <c r="A4" t="s">
        <v>43</v>
      </c>
      <c r="B4" s="3">
        <v>340.30810000000002</v>
      </c>
    </row>
    <row r="5" spans="1:2" x14ac:dyDescent="0.2">
      <c r="A5" t="s">
        <v>58</v>
      </c>
      <c r="B5" s="3">
        <v>306.64179999999999</v>
      </c>
    </row>
    <row r="6" spans="1:2" x14ac:dyDescent="0.2">
      <c r="A6" t="s">
        <v>56</v>
      </c>
      <c r="B6" s="3">
        <v>279.30009999999999</v>
      </c>
    </row>
    <row r="7" spans="1:2" x14ac:dyDescent="0.2">
      <c r="A7" t="s">
        <v>45</v>
      </c>
      <c r="B7" s="3">
        <v>162.2199</v>
      </c>
    </row>
    <row r="8" spans="1:2" x14ac:dyDescent="0.2">
      <c r="A8" t="s">
        <v>57</v>
      </c>
      <c r="B8" s="3">
        <v>143.637</v>
      </c>
    </row>
    <row r="9" spans="1:2" x14ac:dyDescent="0.2">
      <c r="A9" t="s">
        <v>62</v>
      </c>
      <c r="B9" s="3">
        <v>105.5625</v>
      </c>
    </row>
    <row r="10" spans="1:2" x14ac:dyDescent="0.2">
      <c r="A10" t="s">
        <v>41</v>
      </c>
      <c r="B10" s="3">
        <v>102.0196</v>
      </c>
    </row>
    <row r="11" spans="1:2" x14ac:dyDescent="0.2">
      <c r="A11" t="s">
        <v>42</v>
      </c>
      <c r="B11" s="3">
        <v>90</v>
      </c>
    </row>
    <row r="12" spans="1:2" x14ac:dyDescent="0.2">
      <c r="A12" t="s">
        <v>55</v>
      </c>
      <c r="B12" s="3">
        <v>83.009600000000006</v>
      </c>
    </row>
    <row r="13" spans="1:2" x14ac:dyDescent="0.2">
      <c r="A13" t="s">
        <v>52</v>
      </c>
      <c r="B13" s="3">
        <v>76.708299999999994</v>
      </c>
    </row>
    <row r="14" spans="1:2" x14ac:dyDescent="0.2">
      <c r="A14" t="s">
        <v>63</v>
      </c>
      <c r="B14" s="3">
        <v>74.302499999999995</v>
      </c>
    </row>
    <row r="15" spans="1:2" x14ac:dyDescent="0.2">
      <c r="A15" t="s">
        <v>51</v>
      </c>
      <c r="B15" s="3">
        <v>61.906100000000002</v>
      </c>
    </row>
    <row r="16" spans="1:2" x14ac:dyDescent="0.2">
      <c r="A16" t="s">
        <v>48</v>
      </c>
      <c r="B16" s="3">
        <v>55.011899999999997</v>
      </c>
    </row>
    <row r="17" spans="1:2" x14ac:dyDescent="0.2">
      <c r="A17" t="s">
        <v>61</v>
      </c>
      <c r="B17" s="3">
        <v>48</v>
      </c>
    </row>
    <row r="18" spans="1:2" x14ac:dyDescent="0.2">
      <c r="A18" t="s">
        <v>50</v>
      </c>
      <c r="B18" s="3">
        <v>47.213799999999999</v>
      </c>
    </row>
    <row r="19" spans="1:2" x14ac:dyDescent="0.2">
      <c r="A19" t="s">
        <v>53</v>
      </c>
      <c r="B19" s="3">
        <v>45.558100000000003</v>
      </c>
    </row>
    <row r="20" spans="1:2" x14ac:dyDescent="0.2">
      <c r="A20" t="s">
        <v>60</v>
      </c>
      <c r="B20" s="3">
        <v>35.384599999999999</v>
      </c>
    </row>
    <row r="21" spans="1:2" x14ac:dyDescent="0.2">
      <c r="A21" t="s">
        <v>47</v>
      </c>
      <c r="B21" s="3">
        <v>21.561800000000002</v>
      </c>
    </row>
    <row r="22" spans="1:2" x14ac:dyDescent="0.2">
      <c r="A22" t="s">
        <v>49</v>
      </c>
      <c r="B22" s="3">
        <v>19.179500000000001</v>
      </c>
    </row>
    <row r="23" spans="1:2" x14ac:dyDescent="0.2">
      <c r="A23" t="s">
        <v>54</v>
      </c>
      <c r="B23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Labels Count</vt:lpstr>
      <vt:lpstr>Reopening</vt:lpstr>
      <vt:lpstr>Re-Refactoring</vt:lpstr>
      <vt:lpstr>re-refactoring-by-projects</vt:lpstr>
      <vt:lpstr>re-refactoring-interval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2016-11-17T04:43:36Z</dcterms:created>
  <dcterms:modified xsi:type="dcterms:W3CDTF">2017-01-12T00:25:25Z</dcterms:modified>
</cp:coreProperties>
</file>