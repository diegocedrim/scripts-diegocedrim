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0" yWindow="460" windowWidth="28800" windowHeight="17460" tabRatio="500" activeTab="1"/>
  </bookViews>
  <sheets>
    <sheet name="Tocam ou não" sheetId="1" r:id="rId1"/>
    <sheet name="Tocam em aglomeração por tipo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2" l="1"/>
  <c r="E3" i="2"/>
  <c r="E4" i="2"/>
  <c r="E5" i="2"/>
  <c r="E6" i="2"/>
  <c r="E7" i="2"/>
  <c r="E8" i="2"/>
  <c r="E9" i="2"/>
  <c r="E10" i="2"/>
  <c r="E11" i="2"/>
  <c r="E12" i="2"/>
  <c r="E2" i="2"/>
  <c r="H3" i="2"/>
  <c r="H4" i="2"/>
  <c r="H5" i="2"/>
  <c r="H6" i="2"/>
  <c r="H7" i="2"/>
  <c r="H8" i="2"/>
  <c r="H9" i="2"/>
  <c r="H10" i="2"/>
  <c r="H11" i="2"/>
  <c r="H2" i="2"/>
  <c r="B4" i="1"/>
  <c r="C2" i="1"/>
</calcChain>
</file>

<file path=xl/sharedStrings.xml><?xml version="1.0" encoding="utf-8"?>
<sst xmlns="http://schemas.openxmlformats.org/spreadsheetml/2006/main" count="22" uniqueCount="22">
  <si>
    <t>Toca em uma aglomeração?</t>
  </si>
  <si>
    <t>Sim</t>
  </si>
  <si>
    <t>Não</t>
  </si>
  <si>
    <t>Quantidade</t>
  </si>
  <si>
    <t>Extract interface</t>
  </si>
  <si>
    <t>Extract method</t>
  </si>
  <si>
    <t>Extract superclass</t>
  </si>
  <si>
    <t>Inline method</t>
  </si>
  <si>
    <t>Move field</t>
  </si>
  <si>
    <t>Move method</t>
  </si>
  <si>
    <t>Pull up field</t>
  </si>
  <si>
    <t>Pull up method</t>
  </si>
  <si>
    <t>Push down field</t>
  </si>
  <si>
    <t>Push down method</t>
  </si>
  <si>
    <t>Rename method</t>
  </si>
  <si>
    <t>Refatoração</t>
  </si>
  <si>
    <t>Ocorrências</t>
  </si>
  <si>
    <t>Re-Refatoradas</t>
  </si>
  <si>
    <t>Refatoram Elementos em uma Aglomeração</t>
  </si>
  <si>
    <t>Elementos em uma aglomeração e re-refatorada</t>
  </si>
  <si>
    <t>Percentual de re-refatorações nas refatorações que tocaram em uma aglomeração</t>
  </si>
  <si>
    <t>Elementos não em uma aglomeração e re-refatorada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</si>
</sst>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0" fontId="0" fillId="0" borderId="0" xfId="0" applyNumberFormat="1"/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3" sqref="C3"/>
    </sheetView>
  </sheetViews>
  <sheetFormatPr baseColWidth="10" defaultRowHeight="16" x14ac:dyDescent="0.2"/>
  <cols>
    <col min="1" max="1" width="24" bestFit="1" customWidth="1"/>
  </cols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14641</v>
      </c>
      <c r="C2">
        <f>B2/B4</f>
        <v>0.80800220750551877</v>
      </c>
    </row>
    <row r="3" spans="1:3" x14ac:dyDescent="0.2">
      <c r="A3" t="s">
        <v>2</v>
      </c>
      <c r="B3">
        <v>3479</v>
      </c>
    </row>
    <row r="4" spans="1:3" x14ac:dyDescent="0.2">
      <c r="B4">
        <f>SUM(B2:B3)</f>
        <v>18120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E15" sqref="E15"/>
    </sheetView>
  </sheetViews>
  <sheetFormatPr baseColWidth="10" defaultRowHeight="16" x14ac:dyDescent="0.2"/>
  <cols>
    <col min="1" max="1" width="16.83203125" bestFit="1" customWidth="1"/>
    <col min="2" max="2" width="10.83203125" bestFit="1" customWidth="1"/>
    <col min="3" max="3" width="12.33203125" bestFit="1" customWidth="1"/>
    <col min="4" max="4" width="37" bestFit="1" customWidth="1"/>
    <col min="5" max="5" width="37" customWidth="1"/>
    <col min="6" max="6" width="40.6640625" bestFit="1" customWidth="1"/>
    <col min="7" max="7" width="44.1640625" bestFit="1" customWidth="1"/>
    <col min="8" max="8" width="68.33203125" bestFit="1" customWidth="1"/>
  </cols>
  <sheetData>
    <row r="1" spans="1:8" x14ac:dyDescent="0.2">
      <c r="A1" t="s">
        <v>15</v>
      </c>
      <c r="B1" t="s">
        <v>16</v>
      </c>
      <c r="C1" t="s">
        <v>17</v>
      </c>
      <c r="D1" t="s">
        <v>18</v>
      </c>
      <c r="F1" t="s">
        <v>19</v>
      </c>
      <c r="G1" t="s">
        <v>21</v>
      </c>
      <c r="H1" t="s">
        <v>20</v>
      </c>
    </row>
    <row r="2" spans="1:8" x14ac:dyDescent="0.2">
      <c r="A2" t="s">
        <v>4</v>
      </c>
      <c r="B2">
        <v>76</v>
      </c>
      <c r="C2">
        <v>22</v>
      </c>
      <c r="D2">
        <v>54</v>
      </c>
      <c r="E2">
        <f>D2/B2</f>
        <v>0.71052631578947367</v>
      </c>
      <c r="F2">
        <v>18</v>
      </c>
      <c r="G2">
        <v>4</v>
      </c>
      <c r="H2" s="1">
        <f>F2/C2</f>
        <v>0.81818181818181823</v>
      </c>
    </row>
    <row r="3" spans="1:8" x14ac:dyDescent="0.2">
      <c r="A3" t="s">
        <v>5</v>
      </c>
      <c r="B3">
        <v>6761</v>
      </c>
      <c r="C3">
        <v>6728</v>
      </c>
      <c r="D3">
        <v>6193</v>
      </c>
      <c r="E3">
        <f t="shared" ref="E3:E12" si="0">D3/B3</f>
        <v>0.91598875905931076</v>
      </c>
      <c r="F3">
        <v>6167</v>
      </c>
      <c r="G3">
        <v>561</v>
      </c>
      <c r="H3" s="1">
        <f t="shared" ref="H3:H11" si="1">F3/C3</f>
        <v>0.91661712247324612</v>
      </c>
    </row>
    <row r="4" spans="1:8" x14ac:dyDescent="0.2">
      <c r="A4" t="s">
        <v>6</v>
      </c>
      <c r="B4">
        <v>160</v>
      </c>
      <c r="C4">
        <v>72</v>
      </c>
      <c r="D4">
        <v>111</v>
      </c>
      <c r="E4">
        <f t="shared" si="0"/>
        <v>0.69374999999999998</v>
      </c>
      <c r="F4">
        <v>54</v>
      </c>
      <c r="G4">
        <v>18</v>
      </c>
      <c r="H4" s="1">
        <f t="shared" si="1"/>
        <v>0.75</v>
      </c>
    </row>
    <row r="5" spans="1:8" x14ac:dyDescent="0.2">
      <c r="A5" t="s">
        <v>7</v>
      </c>
      <c r="B5">
        <v>1365</v>
      </c>
      <c r="C5">
        <v>1361</v>
      </c>
      <c r="D5">
        <v>1110</v>
      </c>
      <c r="E5">
        <f t="shared" si="0"/>
        <v>0.81318681318681318</v>
      </c>
      <c r="F5">
        <v>1107</v>
      </c>
      <c r="G5">
        <v>254</v>
      </c>
      <c r="H5" s="1">
        <f t="shared" si="1"/>
        <v>0.81337252020573103</v>
      </c>
    </row>
    <row r="6" spans="1:8" x14ac:dyDescent="0.2">
      <c r="A6" t="s">
        <v>8</v>
      </c>
      <c r="B6">
        <v>1956</v>
      </c>
      <c r="C6">
        <v>1601</v>
      </c>
      <c r="D6">
        <v>1743</v>
      </c>
      <c r="E6">
        <f t="shared" si="0"/>
        <v>0.89110429447852757</v>
      </c>
      <c r="F6">
        <v>1449</v>
      </c>
      <c r="G6">
        <v>152</v>
      </c>
      <c r="H6" s="1">
        <f t="shared" si="1"/>
        <v>0.90505933791380389</v>
      </c>
    </row>
    <row r="7" spans="1:8" x14ac:dyDescent="0.2">
      <c r="A7" t="s">
        <v>9</v>
      </c>
      <c r="B7">
        <v>1117</v>
      </c>
      <c r="C7">
        <v>742</v>
      </c>
      <c r="D7">
        <v>1000</v>
      </c>
      <c r="E7">
        <f t="shared" si="0"/>
        <v>0.89525514771709935</v>
      </c>
      <c r="F7">
        <v>680</v>
      </c>
      <c r="G7">
        <v>62</v>
      </c>
      <c r="H7" s="1">
        <f t="shared" si="1"/>
        <v>0.9164420485175202</v>
      </c>
    </row>
    <row r="8" spans="1:8" x14ac:dyDescent="0.2">
      <c r="A8" t="s">
        <v>10</v>
      </c>
      <c r="B8">
        <v>337</v>
      </c>
      <c r="C8">
        <v>188</v>
      </c>
      <c r="D8">
        <v>323</v>
      </c>
      <c r="E8">
        <f t="shared" si="0"/>
        <v>0.95845697329376855</v>
      </c>
      <c r="F8">
        <v>179</v>
      </c>
      <c r="G8">
        <v>9</v>
      </c>
      <c r="H8" s="1">
        <f t="shared" si="1"/>
        <v>0.9521276595744681</v>
      </c>
    </row>
    <row r="9" spans="1:8" x14ac:dyDescent="0.2">
      <c r="A9" t="s">
        <v>11</v>
      </c>
      <c r="B9">
        <v>576</v>
      </c>
      <c r="C9">
        <v>281</v>
      </c>
      <c r="D9">
        <v>514</v>
      </c>
      <c r="E9">
        <f t="shared" si="0"/>
        <v>0.89236111111111116</v>
      </c>
      <c r="F9">
        <v>275</v>
      </c>
      <c r="G9">
        <v>6</v>
      </c>
      <c r="H9" s="1">
        <f t="shared" si="1"/>
        <v>0.97864768683274017</v>
      </c>
    </row>
    <row r="10" spans="1:8" x14ac:dyDescent="0.2">
      <c r="A10" t="s">
        <v>12</v>
      </c>
      <c r="B10">
        <v>61</v>
      </c>
      <c r="C10">
        <v>29</v>
      </c>
      <c r="D10">
        <v>49</v>
      </c>
      <c r="E10">
        <f t="shared" si="0"/>
        <v>0.80327868852459017</v>
      </c>
      <c r="F10">
        <v>25</v>
      </c>
      <c r="G10">
        <v>4</v>
      </c>
      <c r="H10" s="1">
        <f t="shared" si="1"/>
        <v>0.86206896551724133</v>
      </c>
    </row>
    <row r="11" spans="1:8" x14ac:dyDescent="0.2">
      <c r="A11" t="s">
        <v>13</v>
      </c>
      <c r="B11">
        <v>95</v>
      </c>
      <c r="C11">
        <v>61</v>
      </c>
      <c r="D11">
        <v>88</v>
      </c>
      <c r="E11">
        <f t="shared" si="0"/>
        <v>0.9263157894736842</v>
      </c>
      <c r="F11">
        <v>59</v>
      </c>
      <c r="G11">
        <v>2</v>
      </c>
      <c r="H11" s="1">
        <f t="shared" si="1"/>
        <v>0.96721311475409832</v>
      </c>
    </row>
    <row r="12" spans="1:8" x14ac:dyDescent="0.2">
      <c r="A12" t="s">
        <v>14</v>
      </c>
      <c r="B12">
        <v>5616</v>
      </c>
      <c r="C12">
        <v>0</v>
      </c>
      <c r="D12">
        <v>3456</v>
      </c>
      <c r="E12">
        <f t="shared" si="0"/>
        <v>0.61538461538461542</v>
      </c>
      <c r="F12">
        <v>0</v>
      </c>
      <c r="G12">
        <v>0</v>
      </c>
      <c r="H12" s="1"/>
    </row>
    <row r="14" spans="1:8" x14ac:dyDescent="0.2">
      <c r="E14">
        <f>AVERAGE(E2:E12)</f>
        <v>0.82869168254718129</v>
      </c>
    </row>
    <row r="17" spans="8:8" x14ac:dyDescent="0.2">
      <c r="H17" s="2"/>
    </row>
  </sheetData>
  <sortState ref="A2:F12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Tocam ou não</vt:lpstr>
      <vt:lpstr>Tocam em aglomeração por tipo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2016-11-21T22:32:15Z</dcterms:created>
  <dcterms:modified xsi:type="dcterms:W3CDTF">2017-01-12T00:25:25Z</dcterms:modified>
</cp:coreProperties>
</file>