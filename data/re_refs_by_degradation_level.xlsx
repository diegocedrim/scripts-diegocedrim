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data/"/>
    </mc:Choice>
  </mc:AlternateContent>
  <bookViews>
    <workbookView xWindow="0" yWindow="460" windowWidth="28800" windowHeight="1744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7" i="1" l="1"/>
  <c r="J17" i="1"/>
  <c r="G17" i="1"/>
  <c r="D4" i="1"/>
  <c r="G4" i="1"/>
  <c r="J4" i="1"/>
  <c r="M4" i="1"/>
  <c r="N4" i="1"/>
  <c r="D5" i="1"/>
  <c r="G5" i="1"/>
  <c r="J5" i="1"/>
  <c r="M5" i="1"/>
  <c r="N5" i="1"/>
  <c r="D6" i="1"/>
  <c r="G6" i="1"/>
  <c r="J6" i="1"/>
  <c r="M6" i="1"/>
  <c r="N6" i="1"/>
  <c r="D7" i="1"/>
  <c r="G7" i="1"/>
  <c r="J7" i="1"/>
  <c r="M7" i="1"/>
  <c r="N7" i="1"/>
  <c r="D8" i="1"/>
  <c r="G8" i="1"/>
  <c r="J8" i="1"/>
  <c r="M8" i="1"/>
  <c r="N8" i="1"/>
  <c r="D9" i="1"/>
  <c r="G9" i="1"/>
  <c r="J9" i="1"/>
  <c r="M9" i="1"/>
  <c r="N9" i="1"/>
  <c r="D10" i="1"/>
  <c r="G10" i="1"/>
  <c r="J10" i="1"/>
  <c r="M10" i="1"/>
  <c r="N10" i="1"/>
  <c r="D11" i="1"/>
  <c r="G11" i="1"/>
  <c r="J11" i="1"/>
  <c r="M11" i="1"/>
  <c r="N11" i="1"/>
  <c r="D12" i="1"/>
  <c r="G12" i="1"/>
  <c r="J12" i="1"/>
  <c r="M12" i="1"/>
  <c r="N12" i="1"/>
  <c r="D13" i="1"/>
  <c r="G13" i="1"/>
  <c r="J13" i="1"/>
  <c r="M13" i="1"/>
  <c r="N13" i="1"/>
  <c r="D14" i="1"/>
  <c r="G14" i="1"/>
  <c r="J14" i="1"/>
  <c r="M14" i="1"/>
  <c r="N14" i="1"/>
  <c r="D15" i="1"/>
  <c r="G15" i="1"/>
  <c r="J15" i="1"/>
  <c r="M15" i="1"/>
  <c r="N15" i="1"/>
  <c r="D3" i="1"/>
  <c r="G3" i="1"/>
  <c r="J3" i="1"/>
  <c r="M3" i="1"/>
  <c r="N3" i="1"/>
  <c r="C16" i="1"/>
  <c r="D16" i="1"/>
  <c r="E16" i="1"/>
  <c r="F16" i="1"/>
  <c r="G16" i="1"/>
  <c r="H16" i="1"/>
  <c r="I16" i="1"/>
  <c r="J16" i="1"/>
  <c r="K16" i="1"/>
  <c r="L16" i="1"/>
  <c r="M16" i="1"/>
  <c r="B16" i="1"/>
</calcChain>
</file>

<file path=xl/sharedStrings.xml><?xml version="1.0" encoding="utf-8"?>
<sst xmlns="http://schemas.openxmlformats.org/spreadsheetml/2006/main" count="31" uniqueCount="22">
  <si>
    <t xml:space="preserve">Extract Interface   </t>
  </si>
  <si>
    <t xml:space="preserve">Extract Method      </t>
  </si>
  <si>
    <t xml:space="preserve">Extract Superclass  </t>
  </si>
  <si>
    <t xml:space="preserve">Inline Method       </t>
  </si>
  <si>
    <t xml:space="preserve">Move Attribute      </t>
  </si>
  <si>
    <t xml:space="preserve">Move Class          </t>
  </si>
  <si>
    <t xml:space="preserve">Move Method         </t>
  </si>
  <si>
    <t xml:space="preserve">Pull Up Attribute   </t>
  </si>
  <si>
    <t xml:space="preserve">Pull Up Method      </t>
  </si>
  <si>
    <t xml:space="preserve">Push Down Attribute </t>
  </si>
  <si>
    <t xml:space="preserve">Push Down Method    </t>
  </si>
  <si>
    <t xml:space="preserve">Rename Class        </t>
  </si>
  <si>
    <t xml:space="preserve">Rename Method       </t>
  </si>
  <si>
    <t>Octopus + SBES</t>
  </si>
  <si>
    <t>Refactoring Type</t>
  </si>
  <si>
    <t>Smelly</t>
  </si>
  <si>
    <t>ICSE</t>
  </si>
  <si>
    <t>Smell-Free</t>
  </si>
  <si>
    <t>Agglomeration</t>
  </si>
  <si>
    <t>All</t>
  </si>
  <si>
    <t>Total</t>
  </si>
  <si>
    <t>Re-Refactorings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</si>
</sst>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0" fillId="0" borderId="4" xfId="3" applyFont="1" applyFill="1" applyBorder="1" applyAlignment="1">
      <alignment horizontal="center"/>
    </xf>
  </cellXfs>
  <cellStyles count="20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N21" sqref="N21"/>
    </sheetView>
  </sheetViews>
  <sheetFormatPr baseColWidth="10" defaultRowHeight="16" x14ac:dyDescent="0.2"/>
  <cols>
    <col min="1" max="1" width="19" bestFit="1" customWidth="1"/>
    <col min="2" max="2" width="17.5" bestFit="1" customWidth="1"/>
    <col min="3" max="3" width="8.33203125" bestFit="1" customWidth="1"/>
    <col min="5" max="5" width="13.6640625" bestFit="1" customWidth="1"/>
    <col min="8" max="8" width="13.6640625" bestFit="1" customWidth="1"/>
    <col min="11" max="11" width="13.6640625" bestFit="1" customWidth="1"/>
    <col min="15" max="15" width="18.5" bestFit="1" customWidth="1"/>
  </cols>
  <sheetData>
    <row r="1" spans="1:14" x14ac:dyDescent="0.2">
      <c r="A1" s="7" t="s">
        <v>14</v>
      </c>
      <c r="B1" s="6" t="s">
        <v>21</v>
      </c>
      <c r="C1" s="6"/>
      <c r="D1" s="6"/>
      <c r="E1" s="6" t="s">
        <v>17</v>
      </c>
      <c r="F1" s="6"/>
      <c r="G1" s="6"/>
      <c r="H1" s="6" t="s">
        <v>15</v>
      </c>
      <c r="I1" s="6"/>
      <c r="J1" s="6"/>
      <c r="K1" s="6" t="s">
        <v>18</v>
      </c>
      <c r="L1" s="6"/>
      <c r="M1" s="6"/>
    </row>
    <row r="2" spans="1:14" x14ac:dyDescent="0.2">
      <c r="A2" s="8"/>
      <c r="B2" s="2" t="s">
        <v>13</v>
      </c>
      <c r="C2" s="2" t="s">
        <v>16</v>
      </c>
      <c r="D2" s="2" t="s">
        <v>19</v>
      </c>
      <c r="E2" s="2" t="s">
        <v>13</v>
      </c>
      <c r="F2" s="2" t="s">
        <v>16</v>
      </c>
      <c r="G2" s="2" t="s">
        <v>19</v>
      </c>
      <c r="H2" s="2" t="s">
        <v>13</v>
      </c>
      <c r="I2" s="2" t="s">
        <v>16</v>
      </c>
      <c r="J2" s="2" t="s">
        <v>19</v>
      </c>
      <c r="K2" s="2" t="s">
        <v>13</v>
      </c>
      <c r="L2" s="2" t="s">
        <v>16</v>
      </c>
      <c r="M2" s="2" t="s">
        <v>19</v>
      </c>
    </row>
    <row r="3" spans="1:14" x14ac:dyDescent="0.2">
      <c r="A3" s="1" t="s">
        <v>0</v>
      </c>
      <c r="B3" s="1">
        <v>30</v>
      </c>
      <c r="C3" s="1">
        <v>46</v>
      </c>
      <c r="D3" s="1">
        <f>B3+C3</f>
        <v>76</v>
      </c>
      <c r="E3" s="1">
        <v>10</v>
      </c>
      <c r="F3" s="1">
        <v>3</v>
      </c>
      <c r="G3" s="1">
        <f>E3+F3</f>
        <v>13</v>
      </c>
      <c r="H3" s="1">
        <v>5</v>
      </c>
      <c r="I3" s="1">
        <v>21</v>
      </c>
      <c r="J3" s="1">
        <f t="shared" ref="J3:J15" si="0">H3+I3</f>
        <v>26</v>
      </c>
      <c r="K3" s="1">
        <v>15</v>
      </c>
      <c r="L3" s="1">
        <v>22</v>
      </c>
      <c r="M3" s="1">
        <f>K3+L3</f>
        <v>37</v>
      </c>
      <c r="N3" t="str">
        <f>IF((M3+J3+G3)=D3,"valido","merda")</f>
        <v>valido</v>
      </c>
    </row>
    <row r="4" spans="1:14" x14ac:dyDescent="0.2">
      <c r="A4" s="1" t="s">
        <v>1</v>
      </c>
      <c r="B4" s="1">
        <v>1815</v>
      </c>
      <c r="C4" s="1">
        <v>7482</v>
      </c>
      <c r="D4" s="1">
        <f t="shared" ref="D4:D15" si="1">B4+C4</f>
        <v>9297</v>
      </c>
      <c r="E4" s="1">
        <v>319</v>
      </c>
      <c r="F4" s="1">
        <v>377</v>
      </c>
      <c r="G4" s="1">
        <f t="shared" ref="G4:G15" si="2">E4+F4</f>
        <v>696</v>
      </c>
      <c r="H4" s="1">
        <v>224</v>
      </c>
      <c r="I4" s="1">
        <v>938</v>
      </c>
      <c r="J4" s="1">
        <f t="shared" si="0"/>
        <v>1162</v>
      </c>
      <c r="K4" s="1">
        <v>1272</v>
      </c>
      <c r="L4" s="1">
        <v>6167</v>
      </c>
      <c r="M4" s="1">
        <f t="shared" ref="M4:M15" si="3">K4+L4</f>
        <v>7439</v>
      </c>
      <c r="N4" t="str">
        <f t="shared" ref="N4:N15" si="4">IF((M4+J4+G4)=D4,"valido","merda")</f>
        <v>valido</v>
      </c>
    </row>
    <row r="5" spans="1:14" x14ac:dyDescent="0.2">
      <c r="A5" s="1" t="s">
        <v>2</v>
      </c>
      <c r="B5" s="1">
        <v>46</v>
      </c>
      <c r="C5" s="1">
        <v>140</v>
      </c>
      <c r="D5" s="1">
        <f t="shared" si="1"/>
        <v>186</v>
      </c>
      <c r="E5" s="1">
        <v>14</v>
      </c>
      <c r="F5" s="1">
        <v>14</v>
      </c>
      <c r="G5" s="1">
        <f t="shared" si="2"/>
        <v>28</v>
      </c>
      <c r="H5" s="1">
        <v>11</v>
      </c>
      <c r="I5" s="1">
        <v>62</v>
      </c>
      <c r="J5" s="1">
        <f t="shared" si="0"/>
        <v>73</v>
      </c>
      <c r="K5" s="1">
        <v>21</v>
      </c>
      <c r="L5" s="1">
        <v>64</v>
      </c>
      <c r="M5" s="1">
        <f t="shared" si="3"/>
        <v>85</v>
      </c>
      <c r="N5" t="str">
        <f t="shared" si="4"/>
        <v>valido</v>
      </c>
    </row>
    <row r="6" spans="1:14" x14ac:dyDescent="0.2">
      <c r="A6" s="1" t="s">
        <v>3</v>
      </c>
      <c r="B6" s="1">
        <v>1866</v>
      </c>
      <c r="C6" s="1">
        <v>1524</v>
      </c>
      <c r="D6" s="1">
        <f t="shared" si="1"/>
        <v>3390</v>
      </c>
      <c r="E6" s="1">
        <v>1588</v>
      </c>
      <c r="F6" s="1">
        <v>248</v>
      </c>
      <c r="G6" s="1">
        <f t="shared" si="2"/>
        <v>1836</v>
      </c>
      <c r="H6" s="1">
        <v>35</v>
      </c>
      <c r="I6" s="1">
        <v>169</v>
      </c>
      <c r="J6" s="1">
        <f t="shared" si="0"/>
        <v>204</v>
      </c>
      <c r="K6" s="1">
        <v>243</v>
      </c>
      <c r="L6" s="1">
        <v>1107</v>
      </c>
      <c r="M6" s="1">
        <f t="shared" si="3"/>
        <v>1350</v>
      </c>
      <c r="N6" t="str">
        <f t="shared" si="4"/>
        <v>valido</v>
      </c>
    </row>
    <row r="7" spans="1:14" x14ac:dyDescent="0.2">
      <c r="A7" s="1" t="s">
        <v>4</v>
      </c>
      <c r="B7" s="1">
        <v>10937</v>
      </c>
      <c r="C7" s="1">
        <v>3877</v>
      </c>
      <c r="D7" s="1">
        <f t="shared" si="1"/>
        <v>14814</v>
      </c>
      <c r="E7" s="1">
        <v>136</v>
      </c>
      <c r="F7" s="1">
        <v>539</v>
      </c>
      <c r="G7" s="1">
        <f t="shared" si="2"/>
        <v>675</v>
      </c>
      <c r="H7" s="1">
        <v>5523</v>
      </c>
      <c r="I7" s="1">
        <v>1851</v>
      </c>
      <c r="J7" s="1">
        <f t="shared" si="0"/>
        <v>7374</v>
      </c>
      <c r="K7" s="1">
        <v>5278</v>
      </c>
      <c r="L7" s="1">
        <v>1487</v>
      </c>
      <c r="M7" s="1">
        <f t="shared" si="3"/>
        <v>6765</v>
      </c>
      <c r="N7" t="str">
        <f t="shared" si="4"/>
        <v>valido</v>
      </c>
    </row>
    <row r="8" spans="1:14" x14ac:dyDescent="0.2">
      <c r="A8" s="1" t="s">
        <v>5</v>
      </c>
      <c r="B8" s="1">
        <v>286</v>
      </c>
      <c r="C8" s="1">
        <v>0</v>
      </c>
      <c r="D8" s="1">
        <f t="shared" si="1"/>
        <v>286</v>
      </c>
      <c r="E8" s="1">
        <v>167</v>
      </c>
      <c r="F8" s="1">
        <v>0</v>
      </c>
      <c r="G8" s="1">
        <f t="shared" si="2"/>
        <v>167</v>
      </c>
      <c r="H8" s="1">
        <v>82</v>
      </c>
      <c r="I8" s="1">
        <v>0</v>
      </c>
      <c r="J8" s="1">
        <f t="shared" si="0"/>
        <v>82</v>
      </c>
      <c r="K8" s="1">
        <v>37</v>
      </c>
      <c r="L8" s="1">
        <v>0</v>
      </c>
      <c r="M8" s="1">
        <f t="shared" si="3"/>
        <v>37</v>
      </c>
      <c r="N8" t="str">
        <f t="shared" si="4"/>
        <v>valido</v>
      </c>
    </row>
    <row r="9" spans="1:14" x14ac:dyDescent="0.2">
      <c r="A9" s="1" t="s">
        <v>6</v>
      </c>
      <c r="B9" s="1">
        <v>496</v>
      </c>
      <c r="C9" s="1">
        <v>956</v>
      </c>
      <c r="D9" s="1">
        <f t="shared" si="1"/>
        <v>1452</v>
      </c>
      <c r="E9" s="1">
        <v>37</v>
      </c>
      <c r="F9" s="1">
        <v>91</v>
      </c>
      <c r="G9" s="1">
        <f t="shared" si="2"/>
        <v>128</v>
      </c>
      <c r="H9" s="1">
        <v>174</v>
      </c>
      <c r="I9" s="1">
        <v>154</v>
      </c>
      <c r="J9" s="1">
        <f t="shared" si="0"/>
        <v>328</v>
      </c>
      <c r="K9" s="1">
        <v>285</v>
      </c>
      <c r="L9" s="1">
        <v>711</v>
      </c>
      <c r="M9" s="1">
        <f t="shared" si="3"/>
        <v>996</v>
      </c>
      <c r="N9" t="str">
        <f t="shared" si="4"/>
        <v>valido</v>
      </c>
    </row>
    <row r="10" spans="1:14" x14ac:dyDescent="0.2">
      <c r="A10" s="1" t="s">
        <v>7</v>
      </c>
      <c r="B10" s="1">
        <v>291</v>
      </c>
      <c r="C10" s="1">
        <v>294</v>
      </c>
      <c r="D10" s="1">
        <f t="shared" si="1"/>
        <v>585</v>
      </c>
      <c r="E10" s="1">
        <v>18</v>
      </c>
      <c r="F10" s="1">
        <v>50</v>
      </c>
      <c r="G10" s="1">
        <f t="shared" si="2"/>
        <v>68</v>
      </c>
      <c r="H10" s="1">
        <v>8</v>
      </c>
      <c r="I10" s="1">
        <v>60</v>
      </c>
      <c r="J10" s="1">
        <f t="shared" si="0"/>
        <v>68</v>
      </c>
      <c r="K10" s="1">
        <v>265</v>
      </c>
      <c r="L10" s="1">
        <v>184</v>
      </c>
      <c r="M10" s="1">
        <f t="shared" si="3"/>
        <v>449</v>
      </c>
      <c r="N10" t="str">
        <f t="shared" si="4"/>
        <v>valido</v>
      </c>
    </row>
    <row r="11" spans="1:14" x14ac:dyDescent="0.2">
      <c r="A11" s="1" t="s">
        <v>8</v>
      </c>
      <c r="B11" s="1">
        <v>542</v>
      </c>
      <c r="C11" s="1">
        <v>398</v>
      </c>
      <c r="D11" s="1">
        <f t="shared" si="1"/>
        <v>940</v>
      </c>
      <c r="E11" s="1">
        <v>17</v>
      </c>
      <c r="F11" s="1">
        <v>6</v>
      </c>
      <c r="G11" s="1">
        <f t="shared" si="2"/>
        <v>23</v>
      </c>
      <c r="H11" s="1">
        <v>10</v>
      </c>
      <c r="I11" s="1">
        <v>31</v>
      </c>
      <c r="J11" s="1">
        <f t="shared" si="0"/>
        <v>41</v>
      </c>
      <c r="K11" s="1">
        <v>515</v>
      </c>
      <c r="L11" s="1">
        <v>361</v>
      </c>
      <c r="M11" s="1">
        <f t="shared" si="3"/>
        <v>876</v>
      </c>
      <c r="N11" t="str">
        <f t="shared" si="4"/>
        <v>valido</v>
      </c>
    </row>
    <row r="12" spans="1:14" x14ac:dyDescent="0.2">
      <c r="A12" s="1" t="s">
        <v>9</v>
      </c>
      <c r="B12" s="1">
        <v>17</v>
      </c>
      <c r="C12" s="1">
        <v>47</v>
      </c>
      <c r="D12" s="1">
        <f t="shared" si="1"/>
        <v>64</v>
      </c>
      <c r="E12" s="1">
        <v>0</v>
      </c>
      <c r="F12" s="1">
        <v>6</v>
      </c>
      <c r="G12" s="1">
        <f t="shared" si="2"/>
        <v>6</v>
      </c>
      <c r="H12" s="1">
        <v>2</v>
      </c>
      <c r="I12" s="1">
        <v>10</v>
      </c>
      <c r="J12" s="1">
        <f t="shared" si="0"/>
        <v>12</v>
      </c>
      <c r="K12" s="1">
        <v>15</v>
      </c>
      <c r="L12" s="1">
        <v>31</v>
      </c>
      <c r="M12" s="1">
        <f t="shared" si="3"/>
        <v>46</v>
      </c>
      <c r="N12" t="str">
        <f t="shared" si="4"/>
        <v>valido</v>
      </c>
    </row>
    <row r="13" spans="1:14" x14ac:dyDescent="0.2">
      <c r="A13" s="1" t="s">
        <v>10</v>
      </c>
      <c r="B13" s="1">
        <v>34</v>
      </c>
      <c r="C13" s="1">
        <v>78</v>
      </c>
      <c r="D13" s="1">
        <f t="shared" si="1"/>
        <v>112</v>
      </c>
      <c r="E13" s="1">
        <v>1</v>
      </c>
      <c r="F13" s="1">
        <v>6</v>
      </c>
      <c r="G13" s="1">
        <f t="shared" si="2"/>
        <v>7</v>
      </c>
      <c r="H13" s="1">
        <v>2</v>
      </c>
      <c r="I13" s="1">
        <v>10</v>
      </c>
      <c r="J13" s="1">
        <f t="shared" si="0"/>
        <v>12</v>
      </c>
      <c r="K13" s="1">
        <v>31</v>
      </c>
      <c r="L13" s="1">
        <v>62</v>
      </c>
      <c r="M13" s="1">
        <f t="shared" si="3"/>
        <v>93</v>
      </c>
      <c r="N13" t="str">
        <f t="shared" si="4"/>
        <v>valido</v>
      </c>
    </row>
    <row r="14" spans="1:14" x14ac:dyDescent="0.2">
      <c r="A14" s="1" t="s">
        <v>11</v>
      </c>
      <c r="B14" s="1">
        <v>270</v>
      </c>
      <c r="C14" s="1">
        <v>0</v>
      </c>
      <c r="D14" s="1">
        <f t="shared" si="1"/>
        <v>270</v>
      </c>
      <c r="E14" s="1">
        <v>140</v>
      </c>
      <c r="F14" s="1">
        <v>0</v>
      </c>
      <c r="G14" s="1">
        <f t="shared" si="2"/>
        <v>140</v>
      </c>
      <c r="H14" s="1">
        <v>64</v>
      </c>
      <c r="I14" s="1">
        <v>0</v>
      </c>
      <c r="J14" s="1">
        <f t="shared" si="0"/>
        <v>64</v>
      </c>
      <c r="K14" s="1">
        <v>66</v>
      </c>
      <c r="L14" s="1">
        <v>0</v>
      </c>
      <c r="M14" s="1">
        <f t="shared" si="3"/>
        <v>66</v>
      </c>
      <c r="N14" t="str">
        <f t="shared" si="4"/>
        <v>valido</v>
      </c>
    </row>
    <row r="15" spans="1:14" x14ac:dyDescent="0.2">
      <c r="A15" s="3" t="s">
        <v>12</v>
      </c>
      <c r="B15" s="1">
        <v>2189</v>
      </c>
      <c r="C15" s="1">
        <v>4430</v>
      </c>
      <c r="D15" s="1">
        <f t="shared" si="1"/>
        <v>6619</v>
      </c>
      <c r="E15" s="1">
        <v>629</v>
      </c>
      <c r="F15" s="1">
        <v>1694</v>
      </c>
      <c r="G15" s="1">
        <f t="shared" si="2"/>
        <v>2323</v>
      </c>
      <c r="H15" s="1">
        <v>670</v>
      </c>
      <c r="I15" s="1">
        <v>1264</v>
      </c>
      <c r="J15" s="1">
        <f t="shared" si="0"/>
        <v>1934</v>
      </c>
      <c r="K15" s="1">
        <v>890</v>
      </c>
      <c r="L15" s="1">
        <v>1472</v>
      </c>
      <c r="M15" s="1">
        <f t="shared" si="3"/>
        <v>2362</v>
      </c>
      <c r="N15" t="str">
        <f t="shared" si="4"/>
        <v>valido</v>
      </c>
    </row>
    <row r="16" spans="1:14" x14ac:dyDescent="0.2">
      <c r="A16" s="5" t="s">
        <v>20</v>
      </c>
      <c r="B16" s="5">
        <f>SUM(B3:B15)</f>
        <v>18819</v>
      </c>
      <c r="C16" s="5">
        <f t="shared" ref="C16:M16" si="5">SUM(C3:C15)</f>
        <v>19272</v>
      </c>
      <c r="D16" s="5">
        <f t="shared" si="5"/>
        <v>38091</v>
      </c>
      <c r="E16" s="5">
        <f t="shared" si="5"/>
        <v>3076</v>
      </c>
      <c r="F16" s="5">
        <f t="shared" si="5"/>
        <v>3034</v>
      </c>
      <c r="G16" s="5">
        <f t="shared" si="5"/>
        <v>6110</v>
      </c>
      <c r="H16" s="5">
        <f t="shared" si="5"/>
        <v>6810</v>
      </c>
      <c r="I16" s="5">
        <f t="shared" si="5"/>
        <v>4570</v>
      </c>
      <c r="J16" s="5">
        <f t="shared" si="5"/>
        <v>11380</v>
      </c>
      <c r="K16" s="5">
        <f t="shared" si="5"/>
        <v>8933</v>
      </c>
      <c r="L16" s="5">
        <f t="shared" si="5"/>
        <v>11668</v>
      </c>
      <c r="M16" s="5">
        <f t="shared" si="5"/>
        <v>20601</v>
      </c>
    </row>
    <row r="17" spans="1:13" x14ac:dyDescent="0.2">
      <c r="A17" s="4"/>
      <c r="B17" s="4"/>
      <c r="C17" s="4"/>
      <c r="D17" s="4"/>
      <c r="E17" s="4"/>
      <c r="F17" s="4"/>
      <c r="G17" s="9">
        <f>G16/D16</f>
        <v>0.16040534509464177</v>
      </c>
      <c r="H17" s="4"/>
      <c r="I17" s="4"/>
      <c r="J17" s="9">
        <f>J16/D16</f>
        <v>0.29875823685385</v>
      </c>
      <c r="K17" s="4"/>
      <c r="L17" s="4"/>
      <c r="M17" s="9">
        <f>M16/D16</f>
        <v>0.54083641805150828</v>
      </c>
    </row>
  </sheetData>
  <mergeCells count="5">
    <mergeCell ref="K1:M1"/>
    <mergeCell ref="A1:A2"/>
    <mergeCell ref="B1:D1"/>
    <mergeCell ref="E1:G1"/>
    <mergeCell ref="H1:J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2017-02-08T13:37:18Z</dcterms:created>
  <dcterms:modified xsi:type="dcterms:W3CDTF">2017-03-15T21:22:22Z</dcterms:modified>
</cp:coreProperties>
</file>