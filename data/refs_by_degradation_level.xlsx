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data/"/>
    </mc:Choice>
  </mc:AlternateContent>
  <bookViews>
    <workbookView xWindow="0" yWindow="460" windowWidth="28800" windowHeight="174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8" i="1" l="1"/>
  <c r="G58" i="1"/>
  <c r="J58" i="1"/>
  <c r="M58" i="1"/>
  <c r="N58" i="1"/>
  <c r="D57" i="1"/>
  <c r="G57" i="1"/>
  <c r="J57" i="1"/>
  <c r="M57" i="1"/>
  <c r="N57" i="1"/>
  <c r="D56" i="1"/>
  <c r="G56" i="1"/>
  <c r="J56" i="1"/>
  <c r="M56" i="1"/>
  <c r="N56" i="1"/>
  <c r="D55" i="1"/>
  <c r="G55" i="1"/>
  <c r="J55" i="1"/>
  <c r="M55" i="1"/>
  <c r="N55" i="1"/>
  <c r="D54" i="1"/>
  <c r="G54" i="1"/>
  <c r="J54" i="1"/>
  <c r="M54" i="1"/>
  <c r="N54" i="1"/>
  <c r="D53" i="1"/>
  <c r="G53" i="1"/>
  <c r="J53" i="1"/>
  <c r="M53" i="1"/>
  <c r="N53" i="1"/>
  <c r="D52" i="1"/>
  <c r="G52" i="1"/>
  <c r="J52" i="1"/>
  <c r="M52" i="1"/>
  <c r="N52" i="1"/>
  <c r="D51" i="1"/>
  <c r="G51" i="1"/>
  <c r="J51" i="1"/>
  <c r="M51" i="1"/>
  <c r="N51" i="1"/>
  <c r="D50" i="1"/>
  <c r="G50" i="1"/>
  <c r="J50" i="1"/>
  <c r="M50" i="1"/>
  <c r="N50" i="1"/>
  <c r="D49" i="1"/>
  <c r="G49" i="1"/>
  <c r="J49" i="1"/>
  <c r="M49" i="1"/>
  <c r="N49" i="1"/>
  <c r="D48" i="1"/>
  <c r="G48" i="1"/>
  <c r="J48" i="1"/>
  <c r="M48" i="1"/>
  <c r="N48" i="1"/>
  <c r="D47" i="1"/>
  <c r="G47" i="1"/>
  <c r="J47" i="1"/>
  <c r="M47" i="1"/>
  <c r="N47" i="1"/>
  <c r="D46" i="1"/>
  <c r="G46" i="1"/>
  <c r="J46" i="1"/>
  <c r="M46" i="1"/>
  <c r="N46" i="1"/>
  <c r="G37" i="1"/>
  <c r="J37" i="1"/>
  <c r="M37" i="1"/>
  <c r="D37" i="1"/>
  <c r="N37" i="1"/>
  <c r="G36" i="1"/>
  <c r="J36" i="1"/>
  <c r="M36" i="1"/>
  <c r="D36" i="1"/>
  <c r="N36" i="1"/>
  <c r="G35" i="1"/>
  <c r="J35" i="1"/>
  <c r="M35" i="1"/>
  <c r="D35" i="1"/>
  <c r="N35" i="1"/>
  <c r="G34" i="1"/>
  <c r="J34" i="1"/>
  <c r="M34" i="1"/>
  <c r="D34" i="1"/>
  <c r="N34" i="1"/>
  <c r="G33" i="1"/>
  <c r="J33" i="1"/>
  <c r="M33" i="1"/>
  <c r="D33" i="1"/>
  <c r="N33" i="1"/>
  <c r="G32" i="1"/>
  <c r="J32" i="1"/>
  <c r="M32" i="1"/>
  <c r="D32" i="1"/>
  <c r="N32" i="1"/>
  <c r="G31" i="1"/>
  <c r="J31" i="1"/>
  <c r="M31" i="1"/>
  <c r="D31" i="1"/>
  <c r="N31" i="1"/>
  <c r="G30" i="1"/>
  <c r="J30" i="1"/>
  <c r="M30" i="1"/>
  <c r="D30" i="1"/>
  <c r="N30" i="1"/>
  <c r="G29" i="1"/>
  <c r="J29" i="1"/>
  <c r="M29" i="1"/>
  <c r="D29" i="1"/>
  <c r="N29" i="1"/>
  <c r="G28" i="1"/>
  <c r="J28" i="1"/>
  <c r="M28" i="1"/>
  <c r="D28" i="1"/>
  <c r="N28" i="1"/>
  <c r="G27" i="1"/>
  <c r="J27" i="1"/>
  <c r="M27" i="1"/>
  <c r="D27" i="1"/>
  <c r="N27" i="1"/>
  <c r="G26" i="1"/>
  <c r="J26" i="1"/>
  <c r="M26" i="1"/>
  <c r="D26" i="1"/>
  <c r="N26" i="1"/>
  <c r="G25" i="1"/>
  <c r="J25" i="1"/>
  <c r="M25" i="1"/>
  <c r="D25" i="1"/>
  <c r="N25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59" i="1"/>
  <c r="L59" i="1"/>
  <c r="K59" i="1"/>
  <c r="J59" i="1"/>
  <c r="I59" i="1"/>
  <c r="H59" i="1"/>
  <c r="G59" i="1"/>
  <c r="F59" i="1"/>
  <c r="E59" i="1"/>
  <c r="D59" i="1"/>
  <c r="C59" i="1"/>
  <c r="B59" i="1"/>
  <c r="M38" i="1"/>
  <c r="L38" i="1"/>
  <c r="K38" i="1"/>
  <c r="J38" i="1"/>
  <c r="I38" i="1"/>
  <c r="H38" i="1"/>
  <c r="G38" i="1"/>
  <c r="F38" i="1"/>
  <c r="E38" i="1"/>
  <c r="D38" i="1"/>
  <c r="C38" i="1"/>
  <c r="B38" i="1"/>
  <c r="C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E16" i="1"/>
  <c r="F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H16" i="1"/>
  <c r="I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K16" i="1"/>
  <c r="L1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B16" i="1"/>
</calcChain>
</file>

<file path=xl/sharedStrings.xml><?xml version="1.0" encoding="utf-8"?>
<sst xmlns="http://schemas.openxmlformats.org/spreadsheetml/2006/main" count="95" uniqueCount="24">
  <si>
    <t xml:space="preserve">Extract Interface   </t>
  </si>
  <si>
    <t xml:space="preserve">Extract Method      </t>
  </si>
  <si>
    <t xml:space="preserve">Extract Superclass  </t>
  </si>
  <si>
    <t xml:space="preserve">Inline Method       </t>
  </si>
  <si>
    <t xml:space="preserve">Move Attribute      </t>
  </si>
  <si>
    <t xml:space="preserve">Move Class          </t>
  </si>
  <si>
    <t xml:space="preserve">Move Method         </t>
  </si>
  <si>
    <t xml:space="preserve">Pull Up Attribute   </t>
  </si>
  <si>
    <t xml:space="preserve">Pull Up Method      </t>
  </si>
  <si>
    <t xml:space="preserve">Push Down Attribute </t>
  </si>
  <si>
    <t xml:space="preserve">Push Down Method    </t>
  </si>
  <si>
    <t xml:space="preserve">Rename Class        </t>
  </si>
  <si>
    <t xml:space="preserve">Rename Method       </t>
  </si>
  <si>
    <t>Octopus + SBES</t>
  </si>
  <si>
    <t>Refactoring Type</t>
  </si>
  <si>
    <t>Smelly</t>
  </si>
  <si>
    <t>ICSE</t>
  </si>
  <si>
    <t>Smell-Free</t>
  </si>
  <si>
    <t>Agglomeration</t>
  </si>
  <si>
    <t>All</t>
  </si>
  <si>
    <t>Refactorings</t>
  </si>
  <si>
    <t>Total</t>
  </si>
  <si>
    <t>Apenas Root Canal</t>
  </si>
  <si>
    <t>Apenas Floss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</si>
</sst>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topLeftCell="A28" workbookViewId="0">
      <selection activeCell="O48" sqref="O48"/>
    </sheetView>
  </sheetViews>
  <sheetFormatPr baseColWidth="10" defaultRowHeight="16" x14ac:dyDescent="0.2"/>
  <cols>
    <col min="1" max="1" width="19" bestFit="1" customWidth="1"/>
    <col min="2" max="2" width="17.5" bestFit="1" customWidth="1"/>
    <col min="3" max="3" width="8.33203125" bestFit="1" customWidth="1"/>
    <col min="5" max="5" width="13.6640625" bestFit="1" customWidth="1"/>
    <col min="8" max="8" width="13.6640625" bestFit="1" customWidth="1"/>
    <col min="11" max="11" width="13.6640625" bestFit="1" customWidth="1"/>
    <col min="15" max="15" width="18.5" bestFit="1" customWidth="1"/>
  </cols>
  <sheetData>
    <row r="1" spans="1:14" x14ac:dyDescent="0.2">
      <c r="A1" s="6" t="s">
        <v>14</v>
      </c>
      <c r="B1" s="5" t="s">
        <v>20</v>
      </c>
      <c r="C1" s="5"/>
      <c r="D1" s="5"/>
      <c r="E1" s="5" t="s">
        <v>17</v>
      </c>
      <c r="F1" s="5"/>
      <c r="G1" s="5"/>
      <c r="H1" s="5" t="s">
        <v>15</v>
      </c>
      <c r="I1" s="5"/>
      <c r="J1" s="5"/>
      <c r="K1" s="5" t="s">
        <v>18</v>
      </c>
      <c r="L1" s="5"/>
      <c r="M1" s="5"/>
    </row>
    <row r="2" spans="1:14" x14ac:dyDescent="0.2">
      <c r="A2" s="7"/>
      <c r="B2" s="2" t="s">
        <v>13</v>
      </c>
      <c r="C2" s="2" t="s">
        <v>16</v>
      </c>
      <c r="D2" s="2" t="s">
        <v>19</v>
      </c>
      <c r="E2" s="2" t="s">
        <v>13</v>
      </c>
      <c r="F2" s="2" t="s">
        <v>16</v>
      </c>
      <c r="G2" s="2" t="s">
        <v>19</v>
      </c>
      <c r="H2" s="2" t="s">
        <v>13</v>
      </c>
      <c r="I2" s="2" t="s">
        <v>16</v>
      </c>
      <c r="J2" s="2" t="s">
        <v>19</v>
      </c>
      <c r="K2" s="2" t="s">
        <v>13</v>
      </c>
      <c r="L2" s="2" t="s">
        <v>16</v>
      </c>
      <c r="M2" s="2" t="s">
        <v>19</v>
      </c>
    </row>
    <row r="3" spans="1:14" x14ac:dyDescent="0.2">
      <c r="A3" s="1" t="s">
        <v>0</v>
      </c>
      <c r="B3" s="1">
        <v>52</v>
      </c>
      <c r="C3" s="1">
        <v>133</v>
      </c>
      <c r="D3" s="1">
        <f>B3+C3</f>
        <v>185</v>
      </c>
      <c r="E3" s="1">
        <v>19</v>
      </c>
      <c r="F3" s="1">
        <v>5</v>
      </c>
      <c r="G3" s="1">
        <f>E3+F3</f>
        <v>24</v>
      </c>
      <c r="H3" s="1">
        <v>10</v>
      </c>
      <c r="I3" s="1">
        <v>74</v>
      </c>
      <c r="J3" s="1">
        <f t="shared" ref="J3:J15" si="0">H3+I3</f>
        <v>84</v>
      </c>
      <c r="K3" s="1">
        <v>23</v>
      </c>
      <c r="L3" s="1">
        <v>54</v>
      </c>
      <c r="M3" s="1">
        <f>K3+L3</f>
        <v>77</v>
      </c>
      <c r="N3" t="str">
        <f>IF((M3+J3+G3)=D3,"valido","merda")</f>
        <v>valido</v>
      </c>
    </row>
    <row r="4" spans="1:14" x14ac:dyDescent="0.2">
      <c r="A4" s="1" t="s">
        <v>1</v>
      </c>
      <c r="B4" s="1">
        <v>2053</v>
      </c>
      <c r="C4" s="1">
        <v>7517</v>
      </c>
      <c r="D4" s="1">
        <f t="shared" ref="D4:D15" si="1">B4+C4</f>
        <v>9570</v>
      </c>
      <c r="E4" s="1">
        <v>392</v>
      </c>
      <c r="F4" s="1">
        <v>380</v>
      </c>
      <c r="G4" s="1">
        <f t="shared" ref="G4:G15" si="2">E4+F4</f>
        <v>772</v>
      </c>
      <c r="H4" s="1">
        <v>258</v>
      </c>
      <c r="I4" s="1">
        <v>944</v>
      </c>
      <c r="J4" s="1">
        <f t="shared" si="0"/>
        <v>1202</v>
      </c>
      <c r="K4" s="1">
        <v>1403</v>
      </c>
      <c r="L4" s="1">
        <v>6193</v>
      </c>
      <c r="M4" s="1">
        <f t="shared" ref="M4:M15" si="3">K4+L4</f>
        <v>7596</v>
      </c>
      <c r="N4" t="str">
        <f t="shared" ref="N4:N15" si="4">IF((M4+J4+G4)=D4,"valido","merda")</f>
        <v>valido</v>
      </c>
    </row>
    <row r="5" spans="1:14" x14ac:dyDescent="0.2">
      <c r="A5" s="1" t="s">
        <v>2</v>
      </c>
      <c r="B5" s="1">
        <v>68</v>
      </c>
      <c r="C5" s="1">
        <v>342</v>
      </c>
      <c r="D5" s="1">
        <f t="shared" si="1"/>
        <v>410</v>
      </c>
      <c r="E5" s="1">
        <v>27</v>
      </c>
      <c r="F5" s="1">
        <v>47</v>
      </c>
      <c r="G5" s="1">
        <f t="shared" si="2"/>
        <v>74</v>
      </c>
      <c r="H5" s="1">
        <v>19</v>
      </c>
      <c r="I5" s="1">
        <v>184</v>
      </c>
      <c r="J5" s="1">
        <f t="shared" si="0"/>
        <v>203</v>
      </c>
      <c r="K5" s="1">
        <v>22</v>
      </c>
      <c r="L5" s="1">
        <v>111</v>
      </c>
      <c r="M5" s="1">
        <f t="shared" si="3"/>
        <v>133</v>
      </c>
      <c r="N5" t="str">
        <f t="shared" si="4"/>
        <v>valido</v>
      </c>
    </row>
    <row r="6" spans="1:14" x14ac:dyDescent="0.2">
      <c r="A6" s="1" t="s">
        <v>3</v>
      </c>
      <c r="B6" s="1">
        <v>1909</v>
      </c>
      <c r="C6" s="1">
        <v>1528</v>
      </c>
      <c r="D6" s="1">
        <f t="shared" si="1"/>
        <v>3437</v>
      </c>
      <c r="E6" s="1">
        <v>1599</v>
      </c>
      <c r="F6" s="1">
        <v>248</v>
      </c>
      <c r="G6" s="1">
        <f t="shared" si="2"/>
        <v>1847</v>
      </c>
      <c r="H6" s="1">
        <v>46</v>
      </c>
      <c r="I6" s="1">
        <v>170</v>
      </c>
      <c r="J6" s="1">
        <f t="shared" si="0"/>
        <v>216</v>
      </c>
      <c r="K6" s="1">
        <v>264</v>
      </c>
      <c r="L6" s="1">
        <v>1110</v>
      </c>
      <c r="M6" s="1">
        <f t="shared" si="3"/>
        <v>1374</v>
      </c>
      <c r="N6" t="str">
        <f t="shared" si="4"/>
        <v>valido</v>
      </c>
    </row>
    <row r="7" spans="1:14" x14ac:dyDescent="0.2">
      <c r="A7" s="1" t="s">
        <v>4</v>
      </c>
      <c r="B7" s="1">
        <v>10951</v>
      </c>
      <c r="C7" s="1">
        <v>4356</v>
      </c>
      <c r="D7" s="1">
        <f t="shared" si="1"/>
        <v>15307</v>
      </c>
      <c r="E7" s="1">
        <v>142</v>
      </c>
      <c r="F7" s="1">
        <v>647</v>
      </c>
      <c r="G7" s="1">
        <f t="shared" si="2"/>
        <v>789</v>
      </c>
      <c r="H7" s="1">
        <v>5526</v>
      </c>
      <c r="I7" s="1">
        <v>1966</v>
      </c>
      <c r="J7" s="1">
        <f t="shared" si="0"/>
        <v>7492</v>
      </c>
      <c r="K7" s="1">
        <v>5283</v>
      </c>
      <c r="L7" s="1">
        <v>1743</v>
      </c>
      <c r="M7" s="1">
        <f t="shared" si="3"/>
        <v>7026</v>
      </c>
      <c r="N7" t="str">
        <f t="shared" si="4"/>
        <v>valido</v>
      </c>
    </row>
    <row r="8" spans="1:14" x14ac:dyDescent="0.2">
      <c r="A8" s="1" t="s">
        <v>5</v>
      </c>
      <c r="B8" s="1">
        <v>2339</v>
      </c>
      <c r="C8" s="1">
        <v>0</v>
      </c>
      <c r="D8" s="1">
        <f t="shared" si="1"/>
        <v>2339</v>
      </c>
      <c r="E8" s="1">
        <v>1242</v>
      </c>
      <c r="F8" s="1">
        <v>0</v>
      </c>
      <c r="G8" s="1">
        <f t="shared" si="2"/>
        <v>1242</v>
      </c>
      <c r="H8" s="1">
        <v>682</v>
      </c>
      <c r="I8" s="1">
        <v>0</v>
      </c>
      <c r="J8" s="1">
        <f t="shared" si="0"/>
        <v>682</v>
      </c>
      <c r="K8" s="1">
        <v>415</v>
      </c>
      <c r="L8" s="1">
        <v>0</v>
      </c>
      <c r="M8" s="1">
        <f t="shared" si="3"/>
        <v>415</v>
      </c>
      <c r="N8" t="str">
        <f t="shared" si="4"/>
        <v>valido</v>
      </c>
    </row>
    <row r="9" spans="1:14" x14ac:dyDescent="0.2">
      <c r="A9" s="1" t="s">
        <v>6</v>
      </c>
      <c r="B9" s="1">
        <v>505</v>
      </c>
      <c r="C9" s="1">
        <v>1404</v>
      </c>
      <c r="D9" s="1">
        <f t="shared" si="1"/>
        <v>1909</v>
      </c>
      <c r="E9" s="1">
        <v>40</v>
      </c>
      <c r="F9" s="1">
        <v>181</v>
      </c>
      <c r="G9" s="1">
        <f t="shared" si="2"/>
        <v>221</v>
      </c>
      <c r="H9" s="1">
        <v>175</v>
      </c>
      <c r="I9" s="1">
        <v>223</v>
      </c>
      <c r="J9" s="1">
        <f t="shared" si="0"/>
        <v>398</v>
      </c>
      <c r="K9" s="1">
        <v>290</v>
      </c>
      <c r="L9" s="1">
        <v>1000</v>
      </c>
      <c r="M9" s="1">
        <f t="shared" si="3"/>
        <v>1290</v>
      </c>
      <c r="N9" t="str">
        <f t="shared" si="4"/>
        <v>valido</v>
      </c>
    </row>
    <row r="10" spans="1:14" x14ac:dyDescent="0.2">
      <c r="A10" s="1" t="s">
        <v>7</v>
      </c>
      <c r="B10" s="1">
        <v>292</v>
      </c>
      <c r="C10" s="1">
        <v>465</v>
      </c>
      <c r="D10" s="1">
        <f t="shared" si="1"/>
        <v>757</v>
      </c>
      <c r="E10" s="1">
        <v>18</v>
      </c>
      <c r="F10" s="1">
        <v>54</v>
      </c>
      <c r="G10" s="1">
        <f t="shared" si="2"/>
        <v>72</v>
      </c>
      <c r="H10" s="1">
        <v>8</v>
      </c>
      <c r="I10" s="1">
        <v>88</v>
      </c>
      <c r="J10" s="1">
        <f t="shared" si="0"/>
        <v>96</v>
      </c>
      <c r="K10" s="1">
        <v>266</v>
      </c>
      <c r="L10" s="1">
        <v>323</v>
      </c>
      <c r="M10" s="1">
        <f t="shared" si="3"/>
        <v>589</v>
      </c>
      <c r="N10" t="str">
        <f t="shared" si="4"/>
        <v>valido</v>
      </c>
    </row>
    <row r="11" spans="1:14" x14ac:dyDescent="0.2">
      <c r="A11" s="1" t="s">
        <v>8</v>
      </c>
      <c r="B11" s="1">
        <v>544</v>
      </c>
      <c r="C11" s="1">
        <v>629</v>
      </c>
      <c r="D11" s="1">
        <f t="shared" si="1"/>
        <v>1173</v>
      </c>
      <c r="E11" s="1">
        <v>18</v>
      </c>
      <c r="F11" s="1">
        <v>32</v>
      </c>
      <c r="G11" s="1">
        <f t="shared" si="2"/>
        <v>50</v>
      </c>
      <c r="H11" s="1">
        <v>10</v>
      </c>
      <c r="I11" s="1">
        <v>83</v>
      </c>
      <c r="J11" s="1">
        <f t="shared" si="0"/>
        <v>93</v>
      </c>
      <c r="K11" s="1">
        <v>516</v>
      </c>
      <c r="L11" s="1">
        <v>514</v>
      </c>
      <c r="M11" s="1">
        <f t="shared" si="3"/>
        <v>1030</v>
      </c>
      <c r="N11" t="str">
        <f t="shared" si="4"/>
        <v>valido</v>
      </c>
    </row>
    <row r="12" spans="1:14" x14ac:dyDescent="0.2">
      <c r="A12" s="1" t="s">
        <v>9</v>
      </c>
      <c r="B12" s="1">
        <v>18</v>
      </c>
      <c r="C12" s="1">
        <v>78</v>
      </c>
      <c r="D12" s="1">
        <f t="shared" si="1"/>
        <v>96</v>
      </c>
      <c r="E12" s="1">
        <v>0</v>
      </c>
      <c r="F12" s="1">
        <v>12</v>
      </c>
      <c r="G12" s="1">
        <f t="shared" si="2"/>
        <v>12</v>
      </c>
      <c r="H12" s="1">
        <v>3</v>
      </c>
      <c r="I12" s="1">
        <v>17</v>
      </c>
      <c r="J12" s="1">
        <f t="shared" si="0"/>
        <v>20</v>
      </c>
      <c r="K12" s="1">
        <v>15</v>
      </c>
      <c r="L12" s="1">
        <v>49</v>
      </c>
      <c r="M12" s="1">
        <f t="shared" si="3"/>
        <v>64</v>
      </c>
      <c r="N12" t="str">
        <f t="shared" si="4"/>
        <v>valido</v>
      </c>
    </row>
    <row r="13" spans="1:14" x14ac:dyDescent="0.2">
      <c r="A13" s="1" t="s">
        <v>10</v>
      </c>
      <c r="B13" s="1">
        <v>35</v>
      </c>
      <c r="C13" s="1">
        <v>114</v>
      </c>
      <c r="D13" s="1">
        <f t="shared" si="1"/>
        <v>149</v>
      </c>
      <c r="E13" s="1">
        <v>1</v>
      </c>
      <c r="F13" s="1">
        <v>9</v>
      </c>
      <c r="G13" s="1">
        <f t="shared" si="2"/>
        <v>10</v>
      </c>
      <c r="H13" s="1">
        <v>2</v>
      </c>
      <c r="I13" s="1">
        <v>17</v>
      </c>
      <c r="J13" s="1">
        <f t="shared" si="0"/>
        <v>19</v>
      </c>
      <c r="K13" s="1">
        <v>32</v>
      </c>
      <c r="L13" s="1">
        <v>88</v>
      </c>
      <c r="M13" s="1">
        <f t="shared" si="3"/>
        <v>120</v>
      </c>
      <c r="N13" t="str">
        <f t="shared" si="4"/>
        <v>valido</v>
      </c>
    </row>
    <row r="14" spans="1:14" x14ac:dyDescent="0.2">
      <c r="A14" s="1" t="s">
        <v>11</v>
      </c>
      <c r="B14" s="1">
        <v>927</v>
      </c>
      <c r="C14" s="1">
        <v>0</v>
      </c>
      <c r="D14" s="1">
        <f t="shared" si="1"/>
        <v>927</v>
      </c>
      <c r="E14" s="1">
        <v>537</v>
      </c>
      <c r="F14" s="1">
        <v>0</v>
      </c>
      <c r="G14" s="1">
        <f t="shared" si="2"/>
        <v>537</v>
      </c>
      <c r="H14" s="1">
        <v>200</v>
      </c>
      <c r="I14" s="1">
        <v>0</v>
      </c>
      <c r="J14" s="1">
        <f t="shared" si="0"/>
        <v>200</v>
      </c>
      <c r="K14" s="1">
        <v>190</v>
      </c>
      <c r="L14" s="1">
        <v>0</v>
      </c>
      <c r="M14" s="1">
        <f t="shared" si="3"/>
        <v>190</v>
      </c>
      <c r="N14" t="str">
        <f t="shared" si="4"/>
        <v>valido</v>
      </c>
    </row>
    <row r="15" spans="1:14" x14ac:dyDescent="0.2">
      <c r="A15" s="4" t="s">
        <v>12</v>
      </c>
      <c r="B15" s="1">
        <v>2463</v>
      </c>
      <c r="C15" s="1">
        <v>12752</v>
      </c>
      <c r="D15" s="1">
        <f t="shared" si="1"/>
        <v>15215</v>
      </c>
      <c r="E15" s="1">
        <v>732</v>
      </c>
      <c r="F15" s="1">
        <v>4150</v>
      </c>
      <c r="G15" s="1">
        <f t="shared" si="2"/>
        <v>4882</v>
      </c>
      <c r="H15" s="1">
        <v>711</v>
      </c>
      <c r="I15" s="1">
        <v>5146</v>
      </c>
      <c r="J15" s="1">
        <f t="shared" si="0"/>
        <v>5857</v>
      </c>
      <c r="K15" s="1">
        <v>1020</v>
      </c>
      <c r="L15" s="1">
        <v>3456</v>
      </c>
      <c r="M15" s="1">
        <f t="shared" si="3"/>
        <v>4476</v>
      </c>
      <c r="N15" t="str">
        <f t="shared" si="4"/>
        <v>valido</v>
      </c>
    </row>
    <row r="16" spans="1:14" x14ac:dyDescent="0.2">
      <c r="A16" s="2" t="s">
        <v>21</v>
      </c>
      <c r="B16" s="2">
        <f>SUM(B3:B15)</f>
        <v>22156</v>
      </c>
      <c r="C16" s="2">
        <f t="shared" ref="C16:M16" si="5">SUM(C3:C15)</f>
        <v>29318</v>
      </c>
      <c r="D16" s="2">
        <f t="shared" si="5"/>
        <v>51474</v>
      </c>
      <c r="E16" s="2">
        <f t="shared" si="5"/>
        <v>4767</v>
      </c>
      <c r="F16" s="2">
        <f t="shared" si="5"/>
        <v>5765</v>
      </c>
      <c r="G16" s="2">
        <f t="shared" si="5"/>
        <v>10532</v>
      </c>
      <c r="H16" s="2">
        <f t="shared" si="5"/>
        <v>7650</v>
      </c>
      <c r="I16" s="2">
        <f t="shared" si="5"/>
        <v>8912</v>
      </c>
      <c r="J16" s="2">
        <f t="shared" si="5"/>
        <v>16562</v>
      </c>
      <c r="K16" s="2">
        <f t="shared" si="5"/>
        <v>9739</v>
      </c>
      <c r="L16" s="2">
        <f t="shared" si="5"/>
        <v>14641</v>
      </c>
      <c r="M16" s="2">
        <f t="shared" si="5"/>
        <v>24380</v>
      </c>
    </row>
    <row r="17" spans="1:15" x14ac:dyDescent="0.2">
      <c r="G17" s="3"/>
      <c r="J17" s="3"/>
      <c r="M17" s="3"/>
    </row>
    <row r="22" spans="1:15" x14ac:dyDescent="0.2">
      <c r="A22" s="8" t="s">
        <v>22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</row>
    <row r="23" spans="1:15" x14ac:dyDescent="0.2">
      <c r="A23" s="6" t="s">
        <v>14</v>
      </c>
      <c r="B23" s="5" t="s">
        <v>20</v>
      </c>
      <c r="C23" s="5"/>
      <c r="D23" s="5"/>
      <c r="E23" s="5" t="s">
        <v>17</v>
      </c>
      <c r="F23" s="5"/>
      <c r="G23" s="5"/>
      <c r="H23" s="5" t="s">
        <v>15</v>
      </c>
      <c r="I23" s="5"/>
      <c r="J23" s="5"/>
      <c r="K23" s="5" t="s">
        <v>18</v>
      </c>
      <c r="L23" s="5"/>
      <c r="M23" s="5"/>
    </row>
    <row r="24" spans="1:15" x14ac:dyDescent="0.2">
      <c r="A24" s="7"/>
      <c r="B24" s="2" t="s">
        <v>13</v>
      </c>
      <c r="C24" s="2" t="s">
        <v>16</v>
      </c>
      <c r="D24" s="2" t="s">
        <v>19</v>
      </c>
      <c r="E24" s="2" t="s">
        <v>13</v>
      </c>
      <c r="F24" s="2" t="s">
        <v>16</v>
      </c>
      <c r="G24" s="2" t="s">
        <v>19</v>
      </c>
      <c r="H24" s="2" t="s">
        <v>13</v>
      </c>
      <c r="I24" s="2" t="s">
        <v>16</v>
      </c>
      <c r="J24" s="2" t="s">
        <v>19</v>
      </c>
      <c r="K24" s="2" t="s">
        <v>13</v>
      </c>
      <c r="L24" s="2" t="s">
        <v>16</v>
      </c>
      <c r="M24" s="2" t="s">
        <v>19</v>
      </c>
    </row>
    <row r="25" spans="1:15" x14ac:dyDescent="0.2">
      <c r="A25" s="1" t="s">
        <v>0</v>
      </c>
      <c r="B25" s="1">
        <v>6</v>
      </c>
      <c r="C25" s="1">
        <v>21</v>
      </c>
      <c r="D25" s="1">
        <f>B25+C25</f>
        <v>27</v>
      </c>
      <c r="E25" s="1">
        <v>1</v>
      </c>
      <c r="F25" s="1">
        <v>1</v>
      </c>
      <c r="G25" s="1">
        <f>E25+F25</f>
        <v>2</v>
      </c>
      <c r="H25" s="1">
        <v>1</v>
      </c>
      <c r="I25" s="1">
        <v>13</v>
      </c>
      <c r="J25" s="1">
        <f t="shared" ref="J25:J37" si="6">H25+I25</f>
        <v>14</v>
      </c>
      <c r="K25" s="1">
        <v>4</v>
      </c>
      <c r="L25" s="1">
        <v>7</v>
      </c>
      <c r="M25" s="1">
        <f>K25+L25</f>
        <v>11</v>
      </c>
      <c r="N25" t="str">
        <f>IF((M25+J25+G25)=D25,"valido","merda")</f>
        <v>valido</v>
      </c>
      <c r="O25" s="11"/>
    </row>
    <row r="26" spans="1:15" x14ac:dyDescent="0.2">
      <c r="A26" s="1" t="s">
        <v>1</v>
      </c>
      <c r="B26" s="1">
        <v>94</v>
      </c>
      <c r="C26" s="1">
        <v>251</v>
      </c>
      <c r="D26" s="1">
        <f t="shared" ref="D26:D37" si="7">B26+C26</f>
        <v>345</v>
      </c>
      <c r="E26" s="1">
        <v>13</v>
      </c>
      <c r="F26" s="1">
        <v>0</v>
      </c>
      <c r="G26" s="1">
        <f t="shared" ref="G26:G37" si="8">E26+F26</f>
        <v>13</v>
      </c>
      <c r="H26" s="1">
        <v>19</v>
      </c>
      <c r="I26" s="1">
        <v>36</v>
      </c>
      <c r="J26" s="1">
        <f t="shared" si="6"/>
        <v>55</v>
      </c>
      <c r="K26" s="1">
        <v>62</v>
      </c>
      <c r="L26" s="1">
        <v>215</v>
      </c>
      <c r="M26" s="1">
        <f t="shared" ref="M26:M37" si="9">K26+L26</f>
        <v>277</v>
      </c>
      <c r="N26" t="str">
        <f t="shared" ref="N26:N37" si="10">IF((M26+J26+G26)=D26,"valido","merda")</f>
        <v>valido</v>
      </c>
      <c r="O26" s="11"/>
    </row>
    <row r="27" spans="1:15" x14ac:dyDescent="0.2">
      <c r="A27" s="1" t="s">
        <v>2</v>
      </c>
      <c r="B27" s="1">
        <v>7</v>
      </c>
      <c r="C27" s="1">
        <v>30</v>
      </c>
      <c r="D27" s="1">
        <f t="shared" si="7"/>
        <v>37</v>
      </c>
      <c r="E27" s="1">
        <v>1</v>
      </c>
      <c r="F27" s="1">
        <v>2</v>
      </c>
      <c r="G27" s="1">
        <f t="shared" si="8"/>
        <v>3</v>
      </c>
      <c r="H27" s="1">
        <v>3</v>
      </c>
      <c r="I27" s="1">
        <v>20</v>
      </c>
      <c r="J27" s="1">
        <f t="shared" si="6"/>
        <v>23</v>
      </c>
      <c r="K27" s="1">
        <v>3</v>
      </c>
      <c r="L27" s="1">
        <v>8</v>
      </c>
      <c r="M27" s="1">
        <f t="shared" si="9"/>
        <v>11</v>
      </c>
      <c r="N27" t="str">
        <f t="shared" si="10"/>
        <v>valido</v>
      </c>
      <c r="O27" s="11"/>
    </row>
    <row r="28" spans="1:15" x14ac:dyDescent="0.2">
      <c r="A28" s="1" t="s">
        <v>3</v>
      </c>
      <c r="B28" s="1">
        <v>3</v>
      </c>
      <c r="C28" s="1">
        <v>35</v>
      </c>
      <c r="D28" s="1">
        <f t="shared" si="7"/>
        <v>38</v>
      </c>
      <c r="E28" s="1">
        <v>0</v>
      </c>
      <c r="F28" s="1">
        <v>6</v>
      </c>
      <c r="G28" s="1">
        <f t="shared" si="8"/>
        <v>6</v>
      </c>
      <c r="H28" s="1">
        <v>0</v>
      </c>
      <c r="I28" s="1">
        <v>5</v>
      </c>
      <c r="J28" s="1">
        <f t="shared" si="6"/>
        <v>5</v>
      </c>
      <c r="K28" s="1">
        <v>3</v>
      </c>
      <c r="L28" s="1">
        <v>24</v>
      </c>
      <c r="M28" s="1">
        <f t="shared" si="9"/>
        <v>27</v>
      </c>
      <c r="N28" t="str">
        <f t="shared" si="10"/>
        <v>valido</v>
      </c>
      <c r="O28" s="11"/>
    </row>
    <row r="29" spans="1:15" x14ac:dyDescent="0.2">
      <c r="A29" s="1" t="s">
        <v>4</v>
      </c>
      <c r="B29" s="1">
        <v>0</v>
      </c>
      <c r="C29" s="1">
        <v>30</v>
      </c>
      <c r="D29" s="1">
        <f t="shared" si="7"/>
        <v>30</v>
      </c>
      <c r="E29" s="1">
        <v>0</v>
      </c>
      <c r="F29" s="1">
        <v>3</v>
      </c>
      <c r="G29" s="1">
        <f t="shared" si="8"/>
        <v>3</v>
      </c>
      <c r="H29" s="1">
        <v>0</v>
      </c>
      <c r="I29" s="1">
        <v>10</v>
      </c>
      <c r="J29" s="1">
        <f t="shared" si="6"/>
        <v>10</v>
      </c>
      <c r="K29" s="1">
        <v>0</v>
      </c>
      <c r="L29" s="1">
        <v>17</v>
      </c>
      <c r="M29" s="1">
        <f t="shared" si="9"/>
        <v>17</v>
      </c>
      <c r="N29" t="str">
        <f t="shared" si="10"/>
        <v>valido</v>
      </c>
      <c r="O29" s="11"/>
    </row>
    <row r="30" spans="1:15" x14ac:dyDescent="0.2">
      <c r="A30" s="1" t="s">
        <v>5</v>
      </c>
      <c r="B30" s="1">
        <v>151</v>
      </c>
      <c r="C30" s="1">
        <v>0</v>
      </c>
      <c r="D30" s="1">
        <f t="shared" si="7"/>
        <v>151</v>
      </c>
      <c r="E30" s="1">
        <v>78</v>
      </c>
      <c r="F30" s="1">
        <v>0</v>
      </c>
      <c r="G30" s="1">
        <f t="shared" si="8"/>
        <v>78</v>
      </c>
      <c r="H30" s="1">
        <v>26</v>
      </c>
      <c r="I30" s="1">
        <v>0</v>
      </c>
      <c r="J30" s="1">
        <f t="shared" si="6"/>
        <v>26</v>
      </c>
      <c r="K30" s="1">
        <v>47</v>
      </c>
      <c r="L30" s="1">
        <v>0</v>
      </c>
      <c r="M30" s="1">
        <f t="shared" si="9"/>
        <v>47</v>
      </c>
      <c r="N30" t="str">
        <f t="shared" si="10"/>
        <v>valido</v>
      </c>
      <c r="O30" s="11"/>
    </row>
    <row r="31" spans="1:15" x14ac:dyDescent="0.2">
      <c r="A31" s="1" t="s">
        <v>6</v>
      </c>
      <c r="B31" s="1">
        <v>67</v>
      </c>
      <c r="C31" s="1">
        <v>40</v>
      </c>
      <c r="D31" s="1">
        <f t="shared" si="7"/>
        <v>107</v>
      </c>
      <c r="E31" s="1">
        <v>1</v>
      </c>
      <c r="F31" s="1">
        <v>2</v>
      </c>
      <c r="G31" s="1">
        <f t="shared" si="8"/>
        <v>3</v>
      </c>
      <c r="H31" s="1">
        <v>1</v>
      </c>
      <c r="I31" s="1">
        <v>22</v>
      </c>
      <c r="J31" s="1">
        <f t="shared" si="6"/>
        <v>23</v>
      </c>
      <c r="K31" s="1">
        <v>65</v>
      </c>
      <c r="L31" s="1">
        <v>16</v>
      </c>
      <c r="M31" s="1">
        <f t="shared" si="9"/>
        <v>81</v>
      </c>
      <c r="N31" t="str">
        <f t="shared" si="10"/>
        <v>valido</v>
      </c>
      <c r="O31" s="11"/>
    </row>
    <row r="32" spans="1:15" x14ac:dyDescent="0.2">
      <c r="A32" s="1" t="s">
        <v>7</v>
      </c>
      <c r="B32" s="1">
        <v>42</v>
      </c>
      <c r="C32" s="1">
        <v>94</v>
      </c>
      <c r="D32" s="1">
        <f t="shared" si="7"/>
        <v>136</v>
      </c>
      <c r="E32" s="1">
        <v>4</v>
      </c>
      <c r="F32" s="1">
        <v>0</v>
      </c>
      <c r="G32" s="1">
        <f t="shared" si="8"/>
        <v>4</v>
      </c>
      <c r="H32" s="1">
        <v>0</v>
      </c>
      <c r="I32" s="1">
        <v>34</v>
      </c>
      <c r="J32" s="1">
        <f t="shared" si="6"/>
        <v>34</v>
      </c>
      <c r="K32" s="1">
        <v>38</v>
      </c>
      <c r="L32" s="1">
        <v>60</v>
      </c>
      <c r="M32" s="1">
        <f t="shared" si="9"/>
        <v>98</v>
      </c>
      <c r="N32" t="str">
        <f t="shared" si="10"/>
        <v>valido</v>
      </c>
      <c r="O32" s="11"/>
    </row>
    <row r="33" spans="1:15" x14ac:dyDescent="0.2">
      <c r="A33" s="1" t="s">
        <v>8</v>
      </c>
      <c r="B33" s="1">
        <v>188</v>
      </c>
      <c r="C33" s="1">
        <v>9</v>
      </c>
      <c r="D33" s="1">
        <f t="shared" si="7"/>
        <v>197</v>
      </c>
      <c r="E33" s="1">
        <v>6</v>
      </c>
      <c r="F33" s="1">
        <v>0</v>
      </c>
      <c r="G33" s="1">
        <f t="shared" si="8"/>
        <v>6</v>
      </c>
      <c r="H33" s="1">
        <v>3</v>
      </c>
      <c r="I33" s="1">
        <v>3</v>
      </c>
      <c r="J33" s="1">
        <f t="shared" si="6"/>
        <v>6</v>
      </c>
      <c r="K33" s="1">
        <v>179</v>
      </c>
      <c r="L33" s="1">
        <v>6</v>
      </c>
      <c r="M33" s="1">
        <f t="shared" si="9"/>
        <v>185</v>
      </c>
      <c r="N33" t="str">
        <f t="shared" si="10"/>
        <v>valido</v>
      </c>
      <c r="O33" s="11"/>
    </row>
    <row r="34" spans="1:15" x14ac:dyDescent="0.2">
      <c r="A34" s="1" t="s">
        <v>9</v>
      </c>
      <c r="B34" s="1">
        <v>4</v>
      </c>
      <c r="C34" s="1">
        <v>7</v>
      </c>
      <c r="D34" s="1">
        <f t="shared" si="7"/>
        <v>11</v>
      </c>
      <c r="E34" s="1">
        <v>0</v>
      </c>
      <c r="F34" s="1">
        <v>1</v>
      </c>
      <c r="G34" s="1">
        <f t="shared" si="8"/>
        <v>1</v>
      </c>
      <c r="H34" s="1">
        <v>0</v>
      </c>
      <c r="I34" s="1">
        <v>4</v>
      </c>
      <c r="J34" s="1">
        <f t="shared" si="6"/>
        <v>4</v>
      </c>
      <c r="K34" s="1">
        <v>4</v>
      </c>
      <c r="L34" s="1">
        <v>2</v>
      </c>
      <c r="M34" s="1">
        <f t="shared" si="9"/>
        <v>6</v>
      </c>
      <c r="N34" t="str">
        <f t="shared" si="10"/>
        <v>valido</v>
      </c>
      <c r="O34" s="11"/>
    </row>
    <row r="35" spans="1:15" x14ac:dyDescent="0.2">
      <c r="A35" s="1" t="s">
        <v>10</v>
      </c>
      <c r="B35" s="1">
        <v>4</v>
      </c>
      <c r="C35" s="1">
        <v>5</v>
      </c>
      <c r="D35" s="1">
        <f t="shared" si="7"/>
        <v>9</v>
      </c>
      <c r="E35" s="1">
        <v>0</v>
      </c>
      <c r="F35" s="1">
        <v>0</v>
      </c>
      <c r="G35" s="1">
        <f t="shared" si="8"/>
        <v>0</v>
      </c>
      <c r="H35" s="1">
        <v>2</v>
      </c>
      <c r="I35" s="1">
        <v>2</v>
      </c>
      <c r="J35" s="1">
        <f t="shared" si="6"/>
        <v>4</v>
      </c>
      <c r="K35" s="1">
        <v>2</v>
      </c>
      <c r="L35" s="1">
        <v>3</v>
      </c>
      <c r="M35" s="1">
        <f t="shared" si="9"/>
        <v>5</v>
      </c>
      <c r="N35" t="str">
        <f t="shared" si="10"/>
        <v>valido</v>
      </c>
      <c r="O35" s="11"/>
    </row>
    <row r="36" spans="1:15" x14ac:dyDescent="0.2">
      <c r="A36" s="1" t="s">
        <v>11</v>
      </c>
      <c r="B36" s="1">
        <v>2</v>
      </c>
      <c r="C36" s="1">
        <v>0</v>
      </c>
      <c r="D36" s="1">
        <f t="shared" si="7"/>
        <v>2</v>
      </c>
      <c r="E36" s="1">
        <v>0</v>
      </c>
      <c r="F36" s="1">
        <v>0</v>
      </c>
      <c r="G36" s="1">
        <f t="shared" si="8"/>
        <v>0</v>
      </c>
      <c r="H36" s="1">
        <v>1</v>
      </c>
      <c r="I36" s="1">
        <v>0</v>
      </c>
      <c r="J36" s="1">
        <f t="shared" si="6"/>
        <v>1</v>
      </c>
      <c r="K36" s="1">
        <v>1</v>
      </c>
      <c r="L36" s="1">
        <v>0</v>
      </c>
      <c r="M36" s="1">
        <f t="shared" si="9"/>
        <v>1</v>
      </c>
      <c r="N36" t="str">
        <f t="shared" si="10"/>
        <v>valido</v>
      </c>
      <c r="O36" s="11"/>
    </row>
    <row r="37" spans="1:15" x14ac:dyDescent="0.2">
      <c r="A37" s="1" t="s">
        <v>12</v>
      </c>
      <c r="B37" s="1">
        <v>24</v>
      </c>
      <c r="C37" s="1">
        <v>54</v>
      </c>
      <c r="D37" s="1">
        <f t="shared" si="7"/>
        <v>78</v>
      </c>
      <c r="E37" s="1">
        <v>5</v>
      </c>
      <c r="F37" s="1">
        <v>10</v>
      </c>
      <c r="G37" s="1">
        <f t="shared" si="8"/>
        <v>15</v>
      </c>
      <c r="H37" s="1">
        <v>4</v>
      </c>
      <c r="I37" s="1">
        <v>39</v>
      </c>
      <c r="J37" s="1">
        <f t="shared" si="6"/>
        <v>43</v>
      </c>
      <c r="K37" s="1">
        <v>15</v>
      </c>
      <c r="L37" s="1">
        <v>5</v>
      </c>
      <c r="M37" s="1">
        <f t="shared" si="9"/>
        <v>20</v>
      </c>
      <c r="N37" t="str">
        <f t="shared" si="10"/>
        <v>valido</v>
      </c>
      <c r="O37" s="11"/>
    </row>
    <row r="38" spans="1:15" x14ac:dyDescent="0.2">
      <c r="A38" s="2" t="s">
        <v>21</v>
      </c>
      <c r="B38" s="2">
        <f>SUM(B25:B37)</f>
        <v>592</v>
      </c>
      <c r="C38" s="2">
        <f t="shared" ref="C38" si="11">SUM(C25:C37)</f>
        <v>576</v>
      </c>
      <c r="D38" s="2">
        <f t="shared" ref="D38" si="12">SUM(D25:D37)</f>
        <v>1168</v>
      </c>
      <c r="E38" s="2">
        <f t="shared" ref="E38" si="13">SUM(E25:E37)</f>
        <v>109</v>
      </c>
      <c r="F38" s="2">
        <f t="shared" ref="F38" si="14">SUM(F25:F37)</f>
        <v>25</v>
      </c>
      <c r="G38" s="2">
        <f t="shared" ref="G38" si="15">SUM(G25:G37)</f>
        <v>134</v>
      </c>
      <c r="H38" s="2">
        <f t="shared" ref="H38" si="16">SUM(H25:H37)</f>
        <v>60</v>
      </c>
      <c r="I38" s="2">
        <f t="shared" ref="I38" si="17">SUM(I25:I37)</f>
        <v>188</v>
      </c>
      <c r="J38" s="2">
        <f t="shared" ref="J38" si="18">SUM(J25:J37)</f>
        <v>248</v>
      </c>
      <c r="K38" s="2">
        <f t="shared" ref="K38" si="19">SUM(K25:K37)</f>
        <v>423</v>
      </c>
      <c r="L38" s="2">
        <f t="shared" ref="L38" si="20">SUM(L25:L37)</f>
        <v>363</v>
      </c>
      <c r="M38" s="2">
        <f t="shared" ref="M38" si="21">SUM(M25:M37)</f>
        <v>786</v>
      </c>
    </row>
    <row r="39" spans="1:15" x14ac:dyDescent="0.2">
      <c r="G39" s="3"/>
      <c r="J39" s="3"/>
      <c r="M39" s="3"/>
    </row>
    <row r="43" spans="1:15" x14ac:dyDescent="0.2">
      <c r="A43" s="8" t="s">
        <v>23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</row>
    <row r="44" spans="1:15" x14ac:dyDescent="0.2">
      <c r="A44" s="6" t="s">
        <v>14</v>
      </c>
      <c r="B44" s="5" t="s">
        <v>20</v>
      </c>
      <c r="C44" s="5"/>
      <c r="D44" s="5"/>
      <c r="E44" s="5" t="s">
        <v>17</v>
      </c>
      <c r="F44" s="5"/>
      <c r="G44" s="5"/>
      <c r="H44" s="5" t="s">
        <v>15</v>
      </c>
      <c r="I44" s="5"/>
      <c r="J44" s="5"/>
      <c r="K44" s="5" t="s">
        <v>18</v>
      </c>
      <c r="L44" s="5"/>
      <c r="M44" s="5"/>
    </row>
    <row r="45" spans="1:15" x14ac:dyDescent="0.2">
      <c r="A45" s="7"/>
      <c r="B45" s="2" t="s">
        <v>13</v>
      </c>
      <c r="C45" s="2" t="s">
        <v>16</v>
      </c>
      <c r="D45" s="2" t="s">
        <v>19</v>
      </c>
      <c r="E45" s="2" t="s">
        <v>13</v>
      </c>
      <c r="F45" s="2" t="s">
        <v>16</v>
      </c>
      <c r="G45" s="2" t="s">
        <v>19</v>
      </c>
      <c r="H45" s="2" t="s">
        <v>13</v>
      </c>
      <c r="I45" s="2" t="s">
        <v>16</v>
      </c>
      <c r="J45" s="2" t="s">
        <v>19</v>
      </c>
      <c r="K45" s="2" t="s">
        <v>13</v>
      </c>
      <c r="L45" s="2" t="s">
        <v>16</v>
      </c>
      <c r="M45" s="2" t="s">
        <v>19</v>
      </c>
    </row>
    <row r="46" spans="1:15" x14ac:dyDescent="0.2">
      <c r="A46" s="1" t="s">
        <v>0</v>
      </c>
      <c r="B46" s="1">
        <v>18</v>
      </c>
      <c r="C46" s="1">
        <v>14</v>
      </c>
      <c r="D46" s="1">
        <f>B46+C46</f>
        <v>32</v>
      </c>
      <c r="E46" s="1">
        <v>5</v>
      </c>
      <c r="F46" s="1">
        <v>0</v>
      </c>
      <c r="G46" s="1">
        <f>E46+F46</f>
        <v>5</v>
      </c>
      <c r="H46" s="1">
        <v>2</v>
      </c>
      <c r="I46" s="1">
        <v>6</v>
      </c>
      <c r="J46" s="1">
        <f t="shared" ref="J46:J58" si="22">H46+I46</f>
        <v>8</v>
      </c>
      <c r="K46" s="1">
        <v>11</v>
      </c>
      <c r="L46" s="1">
        <v>8</v>
      </c>
      <c r="M46" s="1">
        <f>K46+L46</f>
        <v>19</v>
      </c>
      <c r="N46" t="str">
        <f>IF((M46+J46+G46)=D46,"valido","merda")</f>
        <v>valido</v>
      </c>
    </row>
    <row r="47" spans="1:15" x14ac:dyDescent="0.2">
      <c r="A47" s="1" t="s">
        <v>1</v>
      </c>
      <c r="B47" s="1">
        <v>414</v>
      </c>
      <c r="C47" s="1">
        <v>723</v>
      </c>
      <c r="D47" s="1">
        <f t="shared" ref="D47:D58" si="23">B47+C47</f>
        <v>1137</v>
      </c>
      <c r="E47" s="1">
        <v>40</v>
      </c>
      <c r="F47" s="1">
        <v>0</v>
      </c>
      <c r="G47" s="1">
        <f t="shared" ref="G47:G58" si="24">E47+F47</f>
        <v>40</v>
      </c>
      <c r="H47" s="1">
        <v>44</v>
      </c>
      <c r="I47" s="1">
        <v>71</v>
      </c>
      <c r="J47" s="1">
        <f t="shared" si="22"/>
        <v>115</v>
      </c>
      <c r="K47" s="1">
        <v>330</v>
      </c>
      <c r="L47" s="1">
        <v>652</v>
      </c>
      <c r="M47" s="1">
        <f t="shared" ref="M47:M58" si="25">K47+L47</f>
        <v>982</v>
      </c>
      <c r="N47" t="str">
        <f t="shared" ref="N47:N58" si="26">IF((M47+J47+G47)=D47,"valido","merda")</f>
        <v>valido</v>
      </c>
    </row>
    <row r="48" spans="1:15" x14ac:dyDescent="0.2">
      <c r="A48" s="1" t="s">
        <v>2</v>
      </c>
      <c r="B48" s="1">
        <v>28</v>
      </c>
      <c r="C48" s="1">
        <v>186</v>
      </c>
      <c r="D48" s="1">
        <f t="shared" si="23"/>
        <v>214</v>
      </c>
      <c r="E48" s="1">
        <v>6</v>
      </c>
      <c r="F48" s="1">
        <v>0</v>
      </c>
      <c r="G48" s="1">
        <f t="shared" si="24"/>
        <v>6</v>
      </c>
      <c r="H48" s="1">
        <v>8</v>
      </c>
      <c r="I48" s="1">
        <v>123</v>
      </c>
      <c r="J48" s="1">
        <f t="shared" si="22"/>
        <v>131</v>
      </c>
      <c r="K48" s="1">
        <v>14</v>
      </c>
      <c r="L48" s="1">
        <v>63</v>
      </c>
      <c r="M48" s="1">
        <f t="shared" si="25"/>
        <v>77</v>
      </c>
      <c r="N48" t="str">
        <f t="shared" si="26"/>
        <v>valido</v>
      </c>
    </row>
    <row r="49" spans="1:14" x14ac:dyDescent="0.2">
      <c r="A49" s="1" t="s">
        <v>3</v>
      </c>
      <c r="B49" s="1">
        <v>403</v>
      </c>
      <c r="C49" s="1">
        <v>67</v>
      </c>
      <c r="D49" s="1">
        <f t="shared" si="23"/>
        <v>470</v>
      </c>
      <c r="E49" s="1">
        <v>305</v>
      </c>
      <c r="F49" s="1">
        <v>2</v>
      </c>
      <c r="G49" s="1">
        <f t="shared" si="24"/>
        <v>307</v>
      </c>
      <c r="H49" s="1">
        <v>18</v>
      </c>
      <c r="I49" s="1">
        <v>9</v>
      </c>
      <c r="J49" s="1">
        <f t="shared" si="22"/>
        <v>27</v>
      </c>
      <c r="K49" s="1">
        <v>80</v>
      </c>
      <c r="L49" s="1">
        <v>56</v>
      </c>
      <c r="M49" s="1">
        <f t="shared" si="25"/>
        <v>136</v>
      </c>
      <c r="N49" t="str">
        <f t="shared" si="26"/>
        <v>valido</v>
      </c>
    </row>
    <row r="50" spans="1:14" x14ac:dyDescent="0.2">
      <c r="A50" s="1" t="s">
        <v>4</v>
      </c>
      <c r="B50" s="1">
        <v>464</v>
      </c>
      <c r="C50" s="1">
        <v>51</v>
      </c>
      <c r="D50" s="1">
        <f t="shared" si="23"/>
        <v>515</v>
      </c>
      <c r="E50" s="1">
        <v>4</v>
      </c>
      <c r="F50" s="1">
        <v>4</v>
      </c>
      <c r="G50" s="1">
        <f t="shared" si="24"/>
        <v>8</v>
      </c>
      <c r="H50" s="1">
        <v>200</v>
      </c>
      <c r="I50" s="1">
        <v>25</v>
      </c>
      <c r="J50" s="1">
        <f t="shared" si="22"/>
        <v>225</v>
      </c>
      <c r="K50" s="1">
        <v>260</v>
      </c>
      <c r="L50" s="1">
        <v>22</v>
      </c>
      <c r="M50" s="1">
        <f t="shared" si="25"/>
        <v>282</v>
      </c>
      <c r="N50" t="str">
        <f t="shared" si="26"/>
        <v>valido</v>
      </c>
    </row>
    <row r="51" spans="1:14" x14ac:dyDescent="0.2">
      <c r="A51" s="1" t="s">
        <v>5</v>
      </c>
      <c r="B51" s="1">
        <v>48</v>
      </c>
      <c r="C51" s="1">
        <v>0</v>
      </c>
      <c r="D51" s="1">
        <f t="shared" si="23"/>
        <v>48</v>
      </c>
      <c r="E51" s="1">
        <v>10</v>
      </c>
      <c r="F51" s="1">
        <v>0</v>
      </c>
      <c r="G51" s="1">
        <f t="shared" si="24"/>
        <v>10</v>
      </c>
      <c r="H51" s="1">
        <v>20</v>
      </c>
      <c r="I51" s="1">
        <v>0</v>
      </c>
      <c r="J51" s="1">
        <f t="shared" si="22"/>
        <v>20</v>
      </c>
      <c r="K51" s="1">
        <v>18</v>
      </c>
      <c r="L51" s="1">
        <v>0</v>
      </c>
      <c r="M51" s="1">
        <f t="shared" si="25"/>
        <v>18</v>
      </c>
      <c r="N51" t="str">
        <f t="shared" si="26"/>
        <v>valido</v>
      </c>
    </row>
    <row r="52" spans="1:14" x14ac:dyDescent="0.2">
      <c r="A52" s="1" t="s">
        <v>6</v>
      </c>
      <c r="B52" s="1">
        <v>139</v>
      </c>
      <c r="C52" s="1">
        <v>254</v>
      </c>
      <c r="D52" s="1">
        <f t="shared" si="23"/>
        <v>393</v>
      </c>
      <c r="E52" s="1">
        <v>2</v>
      </c>
      <c r="F52" s="1">
        <v>5</v>
      </c>
      <c r="G52" s="1">
        <f t="shared" si="24"/>
        <v>7</v>
      </c>
      <c r="H52" s="1">
        <v>17</v>
      </c>
      <c r="I52" s="1">
        <v>94</v>
      </c>
      <c r="J52" s="1">
        <f t="shared" si="22"/>
        <v>111</v>
      </c>
      <c r="K52" s="1">
        <v>120</v>
      </c>
      <c r="L52" s="1">
        <v>155</v>
      </c>
      <c r="M52" s="1">
        <f t="shared" si="25"/>
        <v>275</v>
      </c>
      <c r="N52" t="str">
        <f t="shared" si="26"/>
        <v>valido</v>
      </c>
    </row>
    <row r="53" spans="1:14" x14ac:dyDescent="0.2">
      <c r="A53" s="1" t="s">
        <v>7</v>
      </c>
      <c r="B53" s="1">
        <v>144</v>
      </c>
      <c r="C53" s="1">
        <v>57</v>
      </c>
      <c r="D53" s="1">
        <f t="shared" si="23"/>
        <v>201</v>
      </c>
      <c r="E53" s="1">
        <v>12</v>
      </c>
      <c r="F53" s="1">
        <v>0</v>
      </c>
      <c r="G53" s="1">
        <f t="shared" si="24"/>
        <v>12</v>
      </c>
      <c r="H53" s="1">
        <v>0</v>
      </c>
      <c r="I53" s="1">
        <v>33</v>
      </c>
      <c r="J53" s="1">
        <f t="shared" si="22"/>
        <v>33</v>
      </c>
      <c r="K53" s="1">
        <v>132</v>
      </c>
      <c r="L53" s="1">
        <v>24</v>
      </c>
      <c r="M53" s="1">
        <f t="shared" si="25"/>
        <v>156</v>
      </c>
      <c r="N53" t="str">
        <f t="shared" si="26"/>
        <v>valido</v>
      </c>
    </row>
    <row r="54" spans="1:14" x14ac:dyDescent="0.2">
      <c r="A54" s="1" t="s">
        <v>8</v>
      </c>
      <c r="B54" s="1">
        <v>105</v>
      </c>
      <c r="C54" s="1">
        <v>141</v>
      </c>
      <c r="D54" s="1">
        <f t="shared" si="23"/>
        <v>246</v>
      </c>
      <c r="E54" s="1">
        <v>1</v>
      </c>
      <c r="F54" s="1">
        <v>1</v>
      </c>
      <c r="G54" s="1">
        <f t="shared" si="24"/>
        <v>2</v>
      </c>
      <c r="H54" s="1">
        <v>0</v>
      </c>
      <c r="I54" s="1">
        <v>41</v>
      </c>
      <c r="J54" s="1">
        <f t="shared" si="22"/>
        <v>41</v>
      </c>
      <c r="K54" s="1">
        <v>102</v>
      </c>
      <c r="L54" s="1">
        <v>99</v>
      </c>
      <c r="M54" s="1">
        <f t="shared" si="25"/>
        <v>201</v>
      </c>
      <c r="N54" t="str">
        <f t="shared" si="26"/>
        <v>merda</v>
      </c>
    </row>
    <row r="55" spans="1:14" x14ac:dyDescent="0.2">
      <c r="A55" s="1" t="s">
        <v>9</v>
      </c>
      <c r="B55" s="1">
        <v>12</v>
      </c>
      <c r="C55" s="1">
        <v>6</v>
      </c>
      <c r="D55" s="1">
        <f t="shared" si="23"/>
        <v>18</v>
      </c>
      <c r="E55" s="1">
        <v>0</v>
      </c>
      <c r="F55" s="1">
        <v>0</v>
      </c>
      <c r="G55" s="1">
        <f t="shared" si="24"/>
        <v>0</v>
      </c>
      <c r="H55" s="1">
        <v>2</v>
      </c>
      <c r="I55" s="1">
        <v>1</v>
      </c>
      <c r="J55" s="1">
        <f t="shared" si="22"/>
        <v>3</v>
      </c>
      <c r="K55" s="1">
        <v>9</v>
      </c>
      <c r="L55" s="1">
        <v>5</v>
      </c>
      <c r="M55" s="1">
        <f t="shared" si="25"/>
        <v>14</v>
      </c>
      <c r="N55" t="str">
        <f t="shared" si="26"/>
        <v>merda</v>
      </c>
    </row>
    <row r="56" spans="1:14" x14ac:dyDescent="0.2">
      <c r="A56" s="1" t="s">
        <v>10</v>
      </c>
      <c r="B56" s="1">
        <v>25</v>
      </c>
      <c r="C56" s="1">
        <v>17</v>
      </c>
      <c r="D56" s="1">
        <f t="shared" si="23"/>
        <v>42</v>
      </c>
      <c r="E56" s="1">
        <v>0</v>
      </c>
      <c r="F56" s="1">
        <v>1</v>
      </c>
      <c r="G56" s="1">
        <f t="shared" si="24"/>
        <v>1</v>
      </c>
      <c r="H56" s="1">
        <v>3</v>
      </c>
      <c r="I56" s="1">
        <v>2</v>
      </c>
      <c r="J56" s="1">
        <f t="shared" si="22"/>
        <v>5</v>
      </c>
      <c r="K56" s="1">
        <v>25</v>
      </c>
      <c r="L56" s="1">
        <v>14</v>
      </c>
      <c r="M56" s="1">
        <f t="shared" si="25"/>
        <v>39</v>
      </c>
      <c r="N56" t="str">
        <f t="shared" si="26"/>
        <v>merda</v>
      </c>
    </row>
    <row r="57" spans="1:14" x14ac:dyDescent="0.2">
      <c r="A57" s="1" t="s">
        <v>11</v>
      </c>
      <c r="B57" s="1">
        <v>99</v>
      </c>
      <c r="C57" s="1">
        <v>0</v>
      </c>
      <c r="D57" s="1">
        <f t="shared" si="23"/>
        <v>99</v>
      </c>
      <c r="E57" s="1">
        <v>24</v>
      </c>
      <c r="F57" s="1">
        <v>0</v>
      </c>
      <c r="G57" s="1">
        <f t="shared" si="24"/>
        <v>24</v>
      </c>
      <c r="H57" s="1">
        <v>18</v>
      </c>
      <c r="I57" s="1">
        <v>0</v>
      </c>
      <c r="J57" s="1">
        <f t="shared" si="22"/>
        <v>18</v>
      </c>
      <c r="K57" s="1">
        <v>57</v>
      </c>
      <c r="L57" s="1">
        <v>0</v>
      </c>
      <c r="M57" s="1">
        <f t="shared" si="25"/>
        <v>57</v>
      </c>
      <c r="N57" t="str">
        <f t="shared" si="26"/>
        <v>valido</v>
      </c>
    </row>
    <row r="58" spans="1:14" x14ac:dyDescent="0.2">
      <c r="A58" s="1" t="s">
        <v>12</v>
      </c>
      <c r="B58" s="1">
        <v>380</v>
      </c>
      <c r="C58" s="1">
        <v>28</v>
      </c>
      <c r="D58" s="1">
        <f t="shared" si="23"/>
        <v>408</v>
      </c>
      <c r="E58" s="1">
        <v>82</v>
      </c>
      <c r="F58" s="1">
        <v>6</v>
      </c>
      <c r="G58" s="1">
        <f t="shared" si="24"/>
        <v>88</v>
      </c>
      <c r="H58" s="1">
        <v>38</v>
      </c>
      <c r="I58" s="1">
        <v>8</v>
      </c>
      <c r="J58" s="1">
        <f t="shared" si="22"/>
        <v>46</v>
      </c>
      <c r="K58" s="1">
        <v>260</v>
      </c>
      <c r="L58" s="1">
        <v>14</v>
      </c>
      <c r="M58" s="1">
        <f t="shared" si="25"/>
        <v>274</v>
      </c>
      <c r="N58" t="str">
        <f t="shared" si="26"/>
        <v>valido</v>
      </c>
    </row>
    <row r="59" spans="1:14" x14ac:dyDescent="0.2">
      <c r="A59" s="2" t="s">
        <v>21</v>
      </c>
      <c r="B59" s="2">
        <f>SUM(B46:B58)</f>
        <v>2279</v>
      </c>
      <c r="C59" s="2">
        <f t="shared" ref="C59" si="27">SUM(C46:C58)</f>
        <v>1544</v>
      </c>
      <c r="D59" s="2">
        <f t="shared" ref="D59" si="28">SUM(D46:D58)</f>
        <v>3823</v>
      </c>
      <c r="E59" s="2">
        <f t="shared" ref="E59" si="29">SUM(E46:E58)</f>
        <v>491</v>
      </c>
      <c r="F59" s="2">
        <f t="shared" ref="F59" si="30">SUM(F46:F58)</f>
        <v>19</v>
      </c>
      <c r="G59" s="2">
        <f t="shared" ref="G59" si="31">SUM(G46:G58)</f>
        <v>510</v>
      </c>
      <c r="H59" s="2">
        <f t="shared" ref="H59" si="32">SUM(H46:H58)</f>
        <v>370</v>
      </c>
      <c r="I59" s="2">
        <f t="shared" ref="I59" si="33">SUM(I46:I58)</f>
        <v>413</v>
      </c>
      <c r="J59" s="2">
        <f t="shared" ref="J59" si="34">SUM(J46:J58)</f>
        <v>783</v>
      </c>
      <c r="K59" s="2">
        <f t="shared" ref="K59" si="35">SUM(K46:K58)</f>
        <v>1418</v>
      </c>
      <c r="L59" s="2">
        <f t="shared" ref="L59" si="36">SUM(L46:L58)</f>
        <v>1112</v>
      </c>
      <c r="M59" s="2">
        <f t="shared" ref="M59" si="37">SUM(M46:M58)</f>
        <v>2530</v>
      </c>
    </row>
  </sheetData>
  <mergeCells count="17">
    <mergeCell ref="A43:M43"/>
    <mergeCell ref="A44:A45"/>
    <mergeCell ref="B44:D44"/>
    <mergeCell ref="E44:G44"/>
    <mergeCell ref="H44:J44"/>
    <mergeCell ref="K44:M44"/>
    <mergeCell ref="K1:M1"/>
    <mergeCell ref="A1:A2"/>
    <mergeCell ref="A23:A24"/>
    <mergeCell ref="B23:D23"/>
    <mergeCell ref="E23:G23"/>
    <mergeCell ref="H23:J23"/>
    <mergeCell ref="K23:M23"/>
    <mergeCell ref="A22:M22"/>
    <mergeCell ref="B1:D1"/>
    <mergeCell ref="E1:G1"/>
    <mergeCell ref="H1:J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2017-02-08T13:37:18Z</dcterms:created>
  <dcterms:modified xsi:type="dcterms:W3CDTF">2017-03-15T21:40:09Z</dcterms:modified>
</cp:coreProperties>
</file>