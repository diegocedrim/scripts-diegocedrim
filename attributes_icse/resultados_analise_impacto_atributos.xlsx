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diego/PycharmProjects/issues_ref_base/attributes_icse/"/>
    </mc:Choice>
  </mc:AlternateContent>
  <bookViews>
    <workbookView xWindow="0" yWindow="460" windowWidth="28800" windowHeight="17460" tabRatio="500"/>
  </bookViews>
  <sheets>
    <sheet name="uma metrica" sheetId="1" r:id="rId1"/>
    <sheet name="pelo menos duas metricas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7" i="2" l="1"/>
  <c r="C28" i="2"/>
  <c r="C29" i="2"/>
  <c r="C30" i="2"/>
  <c r="C31" i="2"/>
  <c r="C32" i="2"/>
  <c r="C26" i="2"/>
  <c r="C15" i="2"/>
  <c r="C16" i="2"/>
  <c r="C17" i="2"/>
  <c r="C18" i="2"/>
  <c r="C19" i="2"/>
  <c r="C20" i="2"/>
  <c r="C14" i="2"/>
  <c r="C4" i="2"/>
  <c r="C5" i="2"/>
  <c r="C6" i="2"/>
  <c r="C7" i="2"/>
  <c r="C8" i="2"/>
  <c r="C9" i="2"/>
  <c r="C3" i="2"/>
  <c r="C3" i="1"/>
  <c r="C28" i="1"/>
  <c r="C29" i="1"/>
  <c r="C30" i="1"/>
  <c r="C31" i="1"/>
  <c r="C32" i="1"/>
  <c r="C33" i="1"/>
  <c r="C27" i="1"/>
  <c r="C15" i="1"/>
  <c r="C16" i="1"/>
  <c r="C17" i="1"/>
  <c r="C18" i="1"/>
  <c r="C19" i="1"/>
  <c r="C20" i="1"/>
  <c r="C21" i="1"/>
  <c r="C14" i="1"/>
  <c r="C4" i="1"/>
  <c r="C5" i="1"/>
  <c r="C6" i="1"/>
  <c r="C7" i="1"/>
  <c r="C8" i="1"/>
  <c r="C9" i="1"/>
</calcChain>
</file>

<file path=xl/sharedStrings.xml><?xml version="1.0" encoding="utf-8"?>
<sst xmlns="http://schemas.openxmlformats.org/spreadsheetml/2006/main" count="61" uniqueCount="13">
  <si>
    <t>Status</t>
  </si>
  <si>
    <t>Total</t>
  </si>
  <si>
    <t>Não altera nenhum atributo</t>
  </si>
  <si>
    <t>Piora algum atributo e mantém outros</t>
  </si>
  <si>
    <t>Piora pelo menos um</t>
  </si>
  <si>
    <t>Piora e melhora a mesma quantidade de atributos, mas nao se encaixa em nenhuma outra categoria</t>
  </si>
  <si>
    <t>Melhora algum atributo e mantém outros</t>
  </si>
  <si>
    <t>Piora a maioria</t>
  </si>
  <si>
    <t>Melhora a maioria</t>
  </si>
  <si>
    <t>Neutras</t>
  </si>
  <si>
    <t>Melhora todos os atributos</t>
  </si>
  <si>
    <t>Positivas</t>
  </si>
  <si>
    <t>Negativas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</si>
</sst>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164" fontId="0" fillId="0" borderId="0" xfId="1" applyNumberFormat="1" applyFont="1"/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workbookViewId="0">
      <selection activeCell="F16" sqref="F16"/>
    </sheetView>
  </sheetViews>
  <sheetFormatPr baseColWidth="10" defaultRowHeight="16" x14ac:dyDescent="0.2"/>
  <cols>
    <col min="1" max="1" width="82.6640625" bestFit="1" customWidth="1"/>
    <col min="2" max="2" width="5.1640625" bestFit="1" customWidth="1"/>
  </cols>
  <sheetData>
    <row r="1" spans="1:3" x14ac:dyDescent="0.2">
      <c r="A1" s="4" t="s">
        <v>9</v>
      </c>
      <c r="B1" s="4"/>
    </row>
    <row r="2" spans="1:3" x14ac:dyDescent="0.2">
      <c r="A2" s="2" t="s">
        <v>0</v>
      </c>
      <c r="B2" s="2" t="s">
        <v>1</v>
      </c>
    </row>
    <row r="3" spans="1:3" x14ac:dyDescent="0.2">
      <c r="A3" s="1" t="s">
        <v>2</v>
      </c>
      <c r="B3" s="1">
        <v>7853</v>
      </c>
      <c r="C3" s="3">
        <f>B3/SUM(B$3:B$9)</f>
        <v>0.40319351029419315</v>
      </c>
    </row>
    <row r="4" spans="1:3" x14ac:dyDescent="0.2">
      <c r="A4" s="1" t="s">
        <v>3</v>
      </c>
      <c r="B4" s="1">
        <v>5394</v>
      </c>
      <c r="C4" s="3">
        <f t="shared" ref="C4:C9" si="0">B4/SUM(B$3:B$9)</f>
        <v>0.27694203419417773</v>
      </c>
    </row>
    <row r="5" spans="1:3" x14ac:dyDescent="0.2">
      <c r="A5" s="1" t="s">
        <v>4</v>
      </c>
      <c r="B5" s="1">
        <v>2988</v>
      </c>
      <c r="C5" s="3">
        <f t="shared" si="0"/>
        <v>0.1534117163834266</v>
      </c>
    </row>
    <row r="6" spans="1:3" x14ac:dyDescent="0.2">
      <c r="A6" s="1" t="s">
        <v>5</v>
      </c>
      <c r="B6" s="1">
        <v>1143</v>
      </c>
      <c r="C6" s="3">
        <f t="shared" si="0"/>
        <v>5.8684602351491505E-2</v>
      </c>
    </row>
    <row r="7" spans="1:3" x14ac:dyDescent="0.2">
      <c r="A7" s="1" t="s">
        <v>6</v>
      </c>
      <c r="B7" s="1">
        <v>1050</v>
      </c>
      <c r="C7" s="3">
        <f t="shared" si="0"/>
        <v>5.3909739692971199E-2</v>
      </c>
    </row>
    <row r="8" spans="1:3" x14ac:dyDescent="0.2">
      <c r="A8" s="1" t="s">
        <v>7</v>
      </c>
      <c r="B8" s="1">
        <v>858</v>
      </c>
      <c r="C8" s="3">
        <f t="shared" si="0"/>
        <v>4.4051958720542177E-2</v>
      </c>
    </row>
    <row r="9" spans="1:3" x14ac:dyDescent="0.2">
      <c r="A9" s="1" t="s">
        <v>8</v>
      </c>
      <c r="B9" s="1">
        <v>191</v>
      </c>
      <c r="C9" s="3">
        <f t="shared" si="0"/>
        <v>9.8064383631976185E-3</v>
      </c>
    </row>
    <row r="12" spans="1:3" x14ac:dyDescent="0.2">
      <c r="A12" s="4" t="s">
        <v>11</v>
      </c>
      <c r="B12" s="4"/>
    </row>
    <row r="13" spans="1:3" x14ac:dyDescent="0.2">
      <c r="A13" s="2" t="s">
        <v>0</v>
      </c>
      <c r="B13" s="2" t="s">
        <v>1</v>
      </c>
    </row>
    <row r="14" spans="1:3" x14ac:dyDescent="0.2">
      <c r="A14" s="1" t="s">
        <v>3</v>
      </c>
      <c r="B14" s="1">
        <v>609</v>
      </c>
      <c r="C14" s="3">
        <f>B14/SUM(B$14:B$21)</f>
        <v>0.32706766917293234</v>
      </c>
    </row>
    <row r="15" spans="1:3" x14ac:dyDescent="0.2">
      <c r="A15" s="1" t="s">
        <v>7</v>
      </c>
      <c r="B15" s="1">
        <v>361</v>
      </c>
      <c r="C15" s="3">
        <f t="shared" ref="C15:C21" si="1">B15/SUM(B$14:B$21)</f>
        <v>0.19387755102040816</v>
      </c>
    </row>
    <row r="16" spans="1:3" x14ac:dyDescent="0.2">
      <c r="A16" s="1" t="s">
        <v>5</v>
      </c>
      <c r="B16" s="1">
        <v>284</v>
      </c>
      <c r="C16" s="3">
        <f t="shared" si="1"/>
        <v>0.15252416756176154</v>
      </c>
    </row>
    <row r="17" spans="1:3" x14ac:dyDescent="0.2">
      <c r="A17" s="1" t="s">
        <v>4</v>
      </c>
      <c r="B17" s="1">
        <v>263</v>
      </c>
      <c r="C17" s="3">
        <f t="shared" si="1"/>
        <v>0.14124597207303974</v>
      </c>
    </row>
    <row r="18" spans="1:3" x14ac:dyDescent="0.2">
      <c r="A18" s="1" t="s">
        <v>6</v>
      </c>
      <c r="B18" s="1">
        <v>196</v>
      </c>
      <c r="C18" s="3">
        <f t="shared" si="1"/>
        <v>0.10526315789473684</v>
      </c>
    </row>
    <row r="19" spans="1:3" x14ac:dyDescent="0.2">
      <c r="A19" s="1" t="s">
        <v>2</v>
      </c>
      <c r="B19" s="1">
        <v>79</v>
      </c>
      <c r="C19" s="3">
        <f t="shared" si="1"/>
        <v>4.2427497314715359E-2</v>
      </c>
    </row>
    <row r="20" spans="1:3" x14ac:dyDescent="0.2">
      <c r="A20" s="1" t="s">
        <v>8</v>
      </c>
      <c r="B20" s="1">
        <v>69</v>
      </c>
      <c r="C20" s="3">
        <f t="shared" si="1"/>
        <v>3.705692803437164E-2</v>
      </c>
    </row>
    <row r="21" spans="1:3" x14ac:dyDescent="0.2">
      <c r="A21" s="1" t="s">
        <v>10</v>
      </c>
      <c r="B21" s="1">
        <v>1</v>
      </c>
      <c r="C21" s="3">
        <f t="shared" si="1"/>
        <v>5.3705692803437163E-4</v>
      </c>
    </row>
    <row r="25" spans="1:3" x14ac:dyDescent="0.2">
      <c r="A25" s="4" t="s">
        <v>12</v>
      </c>
      <c r="B25" s="4"/>
    </row>
    <row r="26" spans="1:3" x14ac:dyDescent="0.2">
      <c r="A26" s="2" t="s">
        <v>0</v>
      </c>
      <c r="B26" s="2" t="s">
        <v>1</v>
      </c>
    </row>
    <row r="27" spans="1:3" x14ac:dyDescent="0.2">
      <c r="A27" s="1" t="s">
        <v>3</v>
      </c>
      <c r="B27" s="1">
        <v>2517</v>
      </c>
      <c r="C27" s="3">
        <f>B27/SUM(B$27:B$33)</f>
        <v>0.32854718705129876</v>
      </c>
    </row>
    <row r="28" spans="1:3" x14ac:dyDescent="0.2">
      <c r="A28" s="1" t="s">
        <v>2</v>
      </c>
      <c r="B28" s="1">
        <v>1643</v>
      </c>
      <c r="C28" s="3">
        <f t="shared" ref="C28:C33" si="2">B28/SUM(B$27:B$33)</f>
        <v>0.2144628638558935</v>
      </c>
    </row>
    <row r="29" spans="1:3" x14ac:dyDescent="0.2">
      <c r="A29" s="1" t="s">
        <v>4</v>
      </c>
      <c r="B29" s="1">
        <v>1198</v>
      </c>
      <c r="C29" s="3">
        <f t="shared" si="2"/>
        <v>0.15637645216029239</v>
      </c>
    </row>
    <row r="30" spans="1:3" x14ac:dyDescent="0.2">
      <c r="A30" s="1" t="s">
        <v>7</v>
      </c>
      <c r="B30" s="1">
        <v>913</v>
      </c>
      <c r="C30" s="3">
        <f t="shared" si="2"/>
        <v>0.11917504242266022</v>
      </c>
    </row>
    <row r="31" spans="1:3" x14ac:dyDescent="0.2">
      <c r="A31" s="1" t="s">
        <v>5</v>
      </c>
      <c r="B31" s="1">
        <v>854</v>
      </c>
      <c r="C31" s="3">
        <f t="shared" si="2"/>
        <v>0.11147369795065919</v>
      </c>
    </row>
    <row r="32" spans="1:3" x14ac:dyDescent="0.2">
      <c r="A32" s="1" t="s">
        <v>6</v>
      </c>
      <c r="B32" s="1">
        <v>313</v>
      </c>
      <c r="C32" s="3">
        <f t="shared" si="2"/>
        <v>4.0856285080276729E-2</v>
      </c>
    </row>
    <row r="33" spans="1:3" x14ac:dyDescent="0.2">
      <c r="A33" s="1" t="s">
        <v>8</v>
      </c>
      <c r="B33" s="1">
        <v>223</v>
      </c>
      <c r="C33" s="3">
        <f t="shared" si="2"/>
        <v>2.91084714789192E-2</v>
      </c>
    </row>
  </sheetData>
  <mergeCells count="3">
    <mergeCell ref="A1:B1"/>
    <mergeCell ref="A12:B12"/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D30" sqref="D30"/>
    </sheetView>
  </sheetViews>
  <sheetFormatPr baseColWidth="10" defaultRowHeight="16" x14ac:dyDescent="0.2"/>
  <cols>
    <col min="1" max="1" width="82.6640625" bestFit="1" customWidth="1"/>
    <col min="2" max="2" width="5.33203125" bestFit="1" customWidth="1"/>
  </cols>
  <sheetData>
    <row r="1" spans="1:3" x14ac:dyDescent="0.2">
      <c r="A1" s="4" t="s">
        <v>9</v>
      </c>
      <c r="B1" s="4"/>
    </row>
    <row r="2" spans="1:3" x14ac:dyDescent="0.2">
      <c r="A2" s="2" t="s">
        <v>0</v>
      </c>
      <c r="B2" s="2" t="s">
        <v>1</v>
      </c>
    </row>
    <row r="3" spans="1:3" x14ac:dyDescent="0.2">
      <c r="A3" s="1" t="s">
        <v>2</v>
      </c>
      <c r="B3" s="1">
        <v>9452</v>
      </c>
      <c r="C3" s="3">
        <f>B3/SUM(B$3:B$9)</f>
        <v>0.48529034245520358</v>
      </c>
    </row>
    <row r="4" spans="1:3" x14ac:dyDescent="0.2">
      <c r="A4" s="1" t="s">
        <v>3</v>
      </c>
      <c r="B4" s="1">
        <v>5104</v>
      </c>
      <c r="C4" s="3">
        <f t="shared" ref="C4:C9" si="0">B4/SUM(B$3:B$9)</f>
        <v>0.2620526775170714</v>
      </c>
    </row>
    <row r="5" spans="1:3" x14ac:dyDescent="0.2">
      <c r="A5" s="1" t="s">
        <v>5</v>
      </c>
      <c r="B5" s="1">
        <v>2779</v>
      </c>
      <c r="C5" s="3">
        <f t="shared" si="0"/>
        <v>0.14268111105406378</v>
      </c>
    </row>
    <row r="6" spans="1:3" x14ac:dyDescent="0.2">
      <c r="A6" s="1" t="s">
        <v>6</v>
      </c>
      <c r="B6" s="1">
        <v>1143</v>
      </c>
      <c r="C6" s="3">
        <f t="shared" si="0"/>
        <v>5.8684602351491505E-2</v>
      </c>
    </row>
    <row r="7" spans="1:3" x14ac:dyDescent="0.2">
      <c r="A7" s="1" t="s">
        <v>4</v>
      </c>
      <c r="B7" s="1">
        <v>766</v>
      </c>
      <c r="C7" s="3">
        <f t="shared" si="0"/>
        <v>3.9328438671253275E-2</v>
      </c>
    </row>
    <row r="8" spans="1:3" x14ac:dyDescent="0.2">
      <c r="A8" s="1" t="s">
        <v>8</v>
      </c>
      <c r="B8" s="1">
        <v>126</v>
      </c>
      <c r="C8" s="3">
        <f t="shared" si="0"/>
        <v>6.469168763156544E-3</v>
      </c>
    </row>
    <row r="9" spans="1:3" x14ac:dyDescent="0.2">
      <c r="A9" s="1" t="s">
        <v>7</v>
      </c>
      <c r="B9" s="1">
        <v>107</v>
      </c>
      <c r="C9" s="3">
        <f t="shared" si="0"/>
        <v>5.4936591877599219E-3</v>
      </c>
    </row>
    <row r="12" spans="1:3" x14ac:dyDescent="0.2">
      <c r="A12" s="4" t="s">
        <v>11</v>
      </c>
      <c r="B12" s="4"/>
    </row>
    <row r="13" spans="1:3" x14ac:dyDescent="0.2">
      <c r="A13" s="2" t="s">
        <v>0</v>
      </c>
      <c r="B13" s="2" t="s">
        <v>1</v>
      </c>
    </row>
    <row r="14" spans="1:3" x14ac:dyDescent="0.2">
      <c r="A14" s="1" t="s">
        <v>3</v>
      </c>
      <c r="B14" s="1">
        <v>642</v>
      </c>
      <c r="C14" s="3">
        <f>B14/SUM(B$14:B$20)</f>
        <v>0.34479054779806662</v>
      </c>
    </row>
    <row r="15" spans="1:3" x14ac:dyDescent="0.2">
      <c r="A15" s="1" t="s">
        <v>5</v>
      </c>
      <c r="B15" s="1">
        <v>339</v>
      </c>
      <c r="C15" s="3">
        <f t="shared" ref="C15:C20" si="1">B15/SUM(B$14:B$20)</f>
        <v>0.182062298603652</v>
      </c>
    </row>
    <row r="16" spans="1:3" x14ac:dyDescent="0.2">
      <c r="A16" s="1" t="s">
        <v>6</v>
      </c>
      <c r="B16" s="1">
        <v>332</v>
      </c>
      <c r="C16" s="3">
        <f t="shared" si="1"/>
        <v>0.17830290010741137</v>
      </c>
    </row>
    <row r="17" spans="1:3" x14ac:dyDescent="0.2">
      <c r="A17" s="1" t="s">
        <v>4</v>
      </c>
      <c r="B17" s="1">
        <v>266</v>
      </c>
      <c r="C17" s="3">
        <f t="shared" si="1"/>
        <v>0.14285714285714285</v>
      </c>
    </row>
    <row r="18" spans="1:3" x14ac:dyDescent="0.2">
      <c r="A18" s="1" t="s">
        <v>2</v>
      </c>
      <c r="B18" s="1">
        <v>159</v>
      </c>
      <c r="C18" s="3">
        <f t="shared" si="1"/>
        <v>8.5392051557465085E-2</v>
      </c>
    </row>
    <row r="19" spans="1:3" x14ac:dyDescent="0.2">
      <c r="A19" s="1" t="s">
        <v>7</v>
      </c>
      <c r="B19" s="1">
        <v>79</v>
      </c>
      <c r="C19" s="3">
        <f t="shared" si="1"/>
        <v>4.2427497314715359E-2</v>
      </c>
    </row>
    <row r="20" spans="1:3" x14ac:dyDescent="0.2">
      <c r="A20" s="1" t="s">
        <v>8</v>
      </c>
      <c r="B20" s="1">
        <v>45</v>
      </c>
      <c r="C20" s="3">
        <f t="shared" si="1"/>
        <v>2.4167561761546726E-2</v>
      </c>
    </row>
    <row r="24" spans="1:3" x14ac:dyDescent="0.2">
      <c r="A24" s="4" t="s">
        <v>12</v>
      </c>
      <c r="B24" s="4"/>
    </row>
    <row r="25" spans="1:3" x14ac:dyDescent="0.2">
      <c r="A25" s="2" t="s">
        <v>0</v>
      </c>
      <c r="B25" s="2" t="s">
        <v>1</v>
      </c>
    </row>
    <row r="26" spans="1:3" x14ac:dyDescent="0.2">
      <c r="A26" s="1" t="s">
        <v>3</v>
      </c>
      <c r="B26" s="1">
        <v>2520</v>
      </c>
      <c r="C26" s="3">
        <f>B26/SUM(B$27:B$32)</f>
        <v>0.49017700836413147</v>
      </c>
    </row>
    <row r="27" spans="1:3" x14ac:dyDescent="0.2">
      <c r="A27" s="1" t="s">
        <v>2</v>
      </c>
      <c r="B27" s="1">
        <v>2047</v>
      </c>
      <c r="C27" s="3">
        <f t="shared" ref="C27:C32" si="2">B27/SUM(B$27:B$32)</f>
        <v>0.39817156195292747</v>
      </c>
    </row>
    <row r="28" spans="1:3" x14ac:dyDescent="0.2">
      <c r="A28" s="1" t="s">
        <v>5</v>
      </c>
      <c r="B28" s="1">
        <v>1201</v>
      </c>
      <c r="C28" s="3">
        <f t="shared" si="2"/>
        <v>0.23361213771639758</v>
      </c>
    </row>
    <row r="29" spans="1:3" x14ac:dyDescent="0.2">
      <c r="A29" s="1" t="s">
        <v>4</v>
      </c>
      <c r="B29" s="1">
        <v>1084</v>
      </c>
      <c r="C29" s="3">
        <f t="shared" si="2"/>
        <v>0.21085391947092005</v>
      </c>
    </row>
    <row r="30" spans="1:3" x14ac:dyDescent="0.2">
      <c r="A30" s="1" t="s">
        <v>6</v>
      </c>
      <c r="B30" s="1">
        <v>605</v>
      </c>
      <c r="C30" s="3">
        <f t="shared" si="2"/>
        <v>0.11768138494456332</v>
      </c>
    </row>
    <row r="31" spans="1:3" x14ac:dyDescent="0.2">
      <c r="A31" s="1" t="s">
        <v>8</v>
      </c>
      <c r="B31" s="1">
        <v>115</v>
      </c>
      <c r="C31" s="3">
        <f t="shared" si="2"/>
        <v>2.2369188873759969E-2</v>
      </c>
    </row>
    <row r="32" spans="1:3" x14ac:dyDescent="0.2">
      <c r="A32" s="1" t="s">
        <v>7</v>
      </c>
      <c r="B32" s="1">
        <v>89</v>
      </c>
      <c r="C32" s="3">
        <f t="shared" si="2"/>
        <v>1.7311807041431627E-2</v>
      </c>
    </row>
  </sheetData>
  <mergeCells count="3">
    <mergeCell ref="A1:B1"/>
    <mergeCell ref="A12:B12"/>
    <mergeCell ref="A24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uma metrica</vt:lpstr>
      <vt:lpstr>pelo menos duas metricas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2017-02-19T02:13:56Z</dcterms:created>
  <dcterms:modified xsi:type="dcterms:W3CDTF">2017-02-19T02:27:42Z</dcterms:modified>
</cp:coreProperties>
</file>